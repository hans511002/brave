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6B2A62C4-4E07-4E06-A1A8-CB12411562F0}" xr6:coauthVersionLast="33" xr6:coauthVersionMax="33" xr10:uidLastSave="{00000000-0000-0000-0000-000000000000}"/>
  <bookViews>
    <workbookView xWindow="0" yWindow="0" windowWidth="22260" windowHeight="12648" activeTab="4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1" i="5" l="1"/>
  <c r="J92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124" i="5"/>
  <c r="J120" i="5"/>
  <c r="J121" i="5"/>
  <c r="J122" i="5"/>
  <c r="J123" i="5"/>
  <c r="J88" i="5"/>
  <c r="J89" i="5"/>
  <c r="J90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39" i="4"/>
  <c r="K39" i="4"/>
  <c r="L39" i="4"/>
  <c r="J40" i="4"/>
  <c r="K40" i="4"/>
  <c r="L40" i="4"/>
  <c r="J41" i="4"/>
  <c r="K41" i="4"/>
  <c r="L41" i="4"/>
  <c r="J42" i="4"/>
  <c r="K42" i="4"/>
  <c r="L42" i="4"/>
  <c r="L32" i="4"/>
  <c r="K32" i="4"/>
  <c r="J32" i="4"/>
  <c r="L31" i="4"/>
  <c r="K31" i="4"/>
  <c r="J31" i="4"/>
  <c r="C90" i="5"/>
  <c r="C91" i="5"/>
  <c r="C89" i="5"/>
  <c r="C92" i="5"/>
  <c r="C88" i="5"/>
  <c r="C39" i="4"/>
  <c r="C41" i="4"/>
  <c r="C42" i="4"/>
  <c r="C40" i="4"/>
  <c r="C32" i="4"/>
  <c r="C31" i="4"/>
  <c r="C86" i="5"/>
  <c r="C85" i="5"/>
  <c r="C82" i="5"/>
  <c r="C83" i="5"/>
  <c r="I88" i="5" l="1"/>
  <c r="H88" i="5" s="1"/>
  <c r="P88" i="5" s="1"/>
  <c r="P92" i="5"/>
  <c r="I92" i="5"/>
  <c r="H92" i="5" s="1"/>
  <c r="Q92" i="5"/>
  <c r="I89" i="5"/>
  <c r="H89" i="5" s="1"/>
  <c r="Q89" i="5"/>
  <c r="P89" i="5"/>
  <c r="P91" i="5"/>
  <c r="I91" i="5"/>
  <c r="H91" i="5" s="1"/>
  <c r="Q91" i="5"/>
  <c r="I90" i="5"/>
  <c r="H90" i="5" s="1"/>
  <c r="P90" i="5" s="1"/>
  <c r="Q90" i="5"/>
  <c r="I85" i="5"/>
  <c r="H85" i="5" s="1"/>
  <c r="Q85" i="5" s="1"/>
  <c r="I86" i="5"/>
  <c r="H86" i="5" s="1"/>
  <c r="Q86" i="5" s="1"/>
  <c r="I83" i="5"/>
  <c r="H83" i="5" s="1"/>
  <c r="Q83" i="5" s="1"/>
  <c r="I82" i="5"/>
  <c r="H82" i="5" s="1"/>
  <c r="P82" i="5" s="1"/>
  <c r="J25" i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K23" i="1"/>
  <c r="J23" i="1"/>
  <c r="K3" i="1"/>
  <c r="J3" i="1"/>
  <c r="K2" i="1"/>
  <c r="J2" i="1"/>
  <c r="C49" i="1"/>
  <c r="C16" i="1"/>
  <c r="C14" i="1"/>
  <c r="C23" i="1"/>
  <c r="C2" i="1"/>
  <c r="C45" i="1"/>
  <c r="C20" i="1"/>
  <c r="C22" i="1"/>
  <c r="C3" i="1"/>
  <c r="C9" i="1"/>
  <c r="C44" i="1"/>
  <c r="C43" i="1"/>
  <c r="C50" i="1"/>
  <c r="C11" i="1"/>
  <c r="C8" i="1"/>
  <c r="C21" i="1"/>
  <c r="C17" i="1"/>
  <c r="C52" i="1"/>
  <c r="C19" i="1"/>
  <c r="C7" i="1"/>
  <c r="C4" i="1"/>
  <c r="C12" i="1"/>
  <c r="C13" i="1"/>
  <c r="C51" i="1"/>
  <c r="C10" i="1"/>
  <c r="C15" i="1"/>
  <c r="C48" i="1"/>
  <c r="C18" i="1"/>
  <c r="C6" i="1"/>
  <c r="C26" i="1"/>
  <c r="C5" i="1"/>
  <c r="Q88" i="5" l="1"/>
  <c r="P86" i="5"/>
  <c r="P85" i="5"/>
  <c r="Q82" i="5"/>
  <c r="P83" i="5"/>
  <c r="I51" i="1"/>
  <c r="H51" i="1" s="1"/>
  <c r="P51" i="1" s="1"/>
  <c r="I52" i="1"/>
  <c r="H52" i="1" s="1"/>
  <c r="P52" i="1" s="1"/>
  <c r="P50" i="1"/>
  <c r="Q50" i="1"/>
  <c r="I50" i="1"/>
  <c r="H50" i="1" s="1"/>
  <c r="I49" i="1"/>
  <c r="H49" i="1" s="1"/>
  <c r="Q49" i="1" s="1"/>
  <c r="I48" i="1"/>
  <c r="H48" i="1" s="1"/>
  <c r="P48" i="1" s="1"/>
  <c r="I45" i="1"/>
  <c r="H45" i="1" s="1"/>
  <c r="Q45" i="1" s="1"/>
  <c r="I43" i="1"/>
  <c r="H43" i="1" s="1"/>
  <c r="Q43" i="1" s="1"/>
  <c r="I44" i="1"/>
  <c r="H44" i="1" s="1"/>
  <c r="Q44" i="1" s="1"/>
  <c r="I12" i="1"/>
  <c r="H12" i="1" s="1"/>
  <c r="Q12" i="1" s="1"/>
  <c r="I4" i="1"/>
  <c r="H4" i="1" s="1"/>
  <c r="P4" i="1" s="1"/>
  <c r="I21" i="1"/>
  <c r="H21" i="1" s="1"/>
  <c r="P21" i="1" s="1"/>
  <c r="I13" i="1"/>
  <c r="H13" i="1" s="1"/>
  <c r="P13" i="1" s="1"/>
  <c r="I5" i="1"/>
  <c r="H5" i="1" s="1"/>
  <c r="Q5" i="1" s="1"/>
  <c r="I22" i="1"/>
  <c r="H22" i="1" s="1"/>
  <c r="Q22" i="1" s="1"/>
  <c r="I14" i="1"/>
  <c r="H14" i="1" s="1"/>
  <c r="Q14" i="1" s="1"/>
  <c r="I6" i="1"/>
  <c r="H6" i="1" s="1"/>
  <c r="Q6" i="1" s="1"/>
  <c r="I15" i="1"/>
  <c r="H15" i="1" s="1"/>
  <c r="P15" i="1" s="1"/>
  <c r="I7" i="1"/>
  <c r="H7" i="1" s="1"/>
  <c r="Q7" i="1" s="1"/>
  <c r="I8" i="1"/>
  <c r="H8" i="1" s="1"/>
  <c r="P8" i="1" s="1"/>
  <c r="I17" i="1"/>
  <c r="H17" i="1" s="1"/>
  <c r="P17" i="1" s="1"/>
  <c r="I9" i="1"/>
  <c r="H9" i="1" s="1"/>
  <c r="Q9" i="1" s="1"/>
  <c r="I20" i="1"/>
  <c r="H20" i="1" s="1"/>
  <c r="P20" i="1" s="1"/>
  <c r="I16" i="1"/>
  <c r="H16" i="1" s="1"/>
  <c r="Q16" i="1" s="1"/>
  <c r="I18" i="1"/>
  <c r="H18" i="1" s="1"/>
  <c r="Q18" i="1" s="1"/>
  <c r="I10" i="1"/>
  <c r="H10" i="1" s="1"/>
  <c r="P10" i="1" s="1"/>
  <c r="I19" i="1"/>
  <c r="H19" i="1" s="1"/>
  <c r="Q19" i="1" s="1"/>
  <c r="I11" i="1"/>
  <c r="H11" i="1" s="1"/>
  <c r="Q11" i="1" s="1"/>
  <c r="P23" i="1"/>
  <c r="I23" i="1"/>
  <c r="H23" i="1" s="1"/>
  <c r="Q23" i="1"/>
  <c r="I3" i="1"/>
  <c r="H3" i="1" s="1"/>
  <c r="Q3" i="1" s="1"/>
  <c r="Q2" i="1"/>
  <c r="P2" i="1"/>
  <c r="I2" i="1"/>
  <c r="H2" i="1" s="1"/>
  <c r="J13" i="4"/>
  <c r="K13" i="4"/>
  <c r="L13" i="4"/>
  <c r="J12" i="4"/>
  <c r="K12" i="4"/>
  <c r="L12" i="4"/>
  <c r="C13" i="4"/>
  <c r="Q52" i="1" l="1"/>
  <c r="Q51" i="1"/>
  <c r="Q48" i="1"/>
  <c r="P49" i="1"/>
  <c r="P45" i="1"/>
  <c r="P44" i="1"/>
  <c r="P43" i="1"/>
  <c r="P5" i="1"/>
  <c r="P11" i="1"/>
  <c r="P6" i="1"/>
  <c r="P19" i="1"/>
  <c r="P14" i="1"/>
  <c r="Q20" i="1"/>
  <c r="Q15" i="1"/>
  <c r="Q10" i="1"/>
  <c r="Q4" i="1"/>
  <c r="P12" i="1"/>
  <c r="P18" i="1"/>
  <c r="Q8" i="1"/>
  <c r="P22" i="1"/>
  <c r="Q21" i="1"/>
  <c r="P9" i="1"/>
  <c r="P16" i="1"/>
  <c r="Q17" i="1"/>
  <c r="P7" i="1"/>
  <c r="Q13" i="1"/>
  <c r="P3" i="1"/>
  <c r="I13" i="4"/>
  <c r="H13" i="4" s="1"/>
  <c r="Q13" i="4" s="1"/>
  <c r="K18" i="3"/>
  <c r="K19" i="3"/>
  <c r="K20" i="3"/>
  <c r="J7" i="3"/>
  <c r="K7" i="3"/>
  <c r="C7" i="3"/>
  <c r="C12" i="4"/>
  <c r="P13" i="4" l="1"/>
  <c r="I12" i="4"/>
  <c r="H12" i="4" s="1"/>
  <c r="P12" i="4"/>
  <c r="Q12" i="4"/>
  <c r="I7" i="3"/>
  <c r="H7" i="3" s="1"/>
  <c r="Q7" i="3" s="1"/>
  <c r="L3" i="2"/>
  <c r="L4" i="2"/>
  <c r="L5" i="2"/>
  <c r="L6" i="2"/>
  <c r="L7" i="2"/>
  <c r="L8" i="2"/>
  <c r="L9" i="2"/>
  <c r="L2" i="2"/>
  <c r="P7" i="3" l="1"/>
  <c r="J6" i="3"/>
  <c r="K6" i="3"/>
  <c r="C6" i="3"/>
  <c r="P6" i="3" l="1"/>
  <c r="Q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3" i="4"/>
  <c r="J34" i="4"/>
  <c r="J35" i="4"/>
  <c r="J36" i="4"/>
  <c r="J37" i="4"/>
  <c r="J38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2" i="5"/>
  <c r="L27" i="4"/>
  <c r="K27" i="4"/>
  <c r="L24" i="4"/>
  <c r="K24" i="4"/>
  <c r="L21" i="4"/>
  <c r="K21" i="4"/>
  <c r="K18" i="4"/>
  <c r="L18" i="4"/>
  <c r="K30" i="4"/>
  <c r="L30" i="4"/>
  <c r="L66" i="4"/>
  <c r="K66" i="4"/>
  <c r="L65" i="4"/>
  <c r="K65" i="4"/>
  <c r="L59" i="4"/>
  <c r="K59" i="4"/>
  <c r="L58" i="4"/>
  <c r="K58" i="4"/>
  <c r="L52" i="4"/>
  <c r="K52" i="4"/>
  <c r="L51" i="4"/>
  <c r="K51" i="4"/>
  <c r="K44" i="4"/>
  <c r="L44" i="4"/>
  <c r="K16" i="4"/>
  <c r="L16" i="4"/>
  <c r="K72" i="5"/>
  <c r="C18" i="4"/>
  <c r="C30" i="4"/>
  <c r="C24" i="4"/>
  <c r="C59" i="4"/>
  <c r="C16" i="4"/>
  <c r="C44" i="4"/>
  <c r="C52" i="4"/>
  <c r="C21" i="4"/>
  <c r="C58" i="4"/>
  <c r="C51" i="4"/>
  <c r="C66" i="4"/>
  <c r="C65" i="4"/>
  <c r="C27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31" i="5"/>
  <c r="C34" i="5"/>
  <c r="C37" i="5"/>
  <c r="C40" i="5"/>
  <c r="I31" i="5" l="1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93" i="5"/>
  <c r="K104" i="5"/>
  <c r="K107" i="5"/>
  <c r="C80" i="5"/>
  <c r="C10" i="5"/>
  <c r="C11" i="5"/>
  <c r="C3" i="5"/>
  <c r="C107" i="5"/>
  <c r="C84" i="5"/>
  <c r="C87" i="5"/>
  <c r="C9" i="5"/>
  <c r="C5" i="5"/>
  <c r="C104" i="5"/>
  <c r="C4" i="5"/>
  <c r="C7" i="5"/>
  <c r="C81" i="5"/>
  <c r="C8" i="5"/>
  <c r="C6" i="5"/>
  <c r="P87" i="5" l="1"/>
  <c r="Q87" i="5"/>
  <c r="P81" i="5"/>
  <c r="Q81" i="5"/>
  <c r="P84" i="5"/>
  <c r="Q84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7" i="5"/>
  <c r="H87" i="5" s="1"/>
  <c r="I81" i="5"/>
  <c r="H81" i="5" s="1"/>
  <c r="I84" i="5"/>
  <c r="H84" i="5" s="1"/>
  <c r="I6" i="5"/>
  <c r="H6" i="5" s="1"/>
  <c r="I7" i="5" s="1"/>
  <c r="I80" i="5"/>
  <c r="H80" i="5" s="1"/>
  <c r="I104" i="5"/>
  <c r="H104" i="5" s="1"/>
  <c r="Q104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3" i="4"/>
  <c r="K34" i="4"/>
  <c r="K35" i="4"/>
  <c r="K36" i="4"/>
  <c r="K37" i="4"/>
  <c r="K38" i="4"/>
  <c r="K43" i="4"/>
  <c r="K45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3" i="4"/>
  <c r="L34" i="4"/>
  <c r="L35" i="4"/>
  <c r="L36" i="4"/>
  <c r="L37" i="4"/>
  <c r="L38" i="4"/>
  <c r="L43" i="4"/>
  <c r="L45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K2" i="5"/>
  <c r="K219" i="5"/>
  <c r="K220" i="5"/>
  <c r="K221" i="5"/>
  <c r="K222" i="5"/>
  <c r="P104" i="5" l="1"/>
  <c r="Q6" i="5"/>
  <c r="P6" i="5"/>
  <c r="Q10" i="5"/>
  <c r="P10" i="5"/>
  <c r="Q8" i="5"/>
  <c r="P8" i="5"/>
  <c r="H9" i="5"/>
  <c r="H7" i="5"/>
  <c r="H11" i="5"/>
  <c r="K149" i="5"/>
  <c r="K145" i="5"/>
  <c r="K141" i="5"/>
  <c r="K125" i="5"/>
  <c r="P9" i="5" l="1"/>
  <c r="Q9" i="5"/>
  <c r="P7" i="5"/>
  <c r="Q7" i="5"/>
  <c r="P11" i="5"/>
  <c r="Q11" i="5"/>
  <c r="H4" i="5"/>
  <c r="K124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2" i="5"/>
  <c r="K143" i="5"/>
  <c r="K144" i="5"/>
  <c r="K146" i="5"/>
  <c r="K147" i="5"/>
  <c r="K148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100" i="5"/>
  <c r="K101" i="5"/>
  <c r="K102" i="5"/>
  <c r="K103" i="5"/>
  <c r="K105" i="5"/>
  <c r="K106" i="5"/>
  <c r="K121" i="5"/>
  <c r="K122" i="5"/>
  <c r="K123" i="5"/>
  <c r="K97" i="5"/>
  <c r="K98" i="5"/>
  <c r="K99" i="5"/>
  <c r="P4" i="5" l="1"/>
  <c r="Q4" i="5"/>
  <c r="I5" i="5"/>
  <c r="H5" i="5" s="1"/>
  <c r="H3" i="5"/>
  <c r="K120" i="5"/>
  <c r="K94" i="5"/>
  <c r="K95" i="5"/>
  <c r="K96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29" i="5"/>
  <c r="K35" i="5"/>
  <c r="K38" i="5"/>
  <c r="P3" i="5" l="1"/>
  <c r="Q3" i="5"/>
  <c r="P5" i="5"/>
  <c r="Q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46" i="4"/>
  <c r="C27" i="1"/>
  <c r="C146" i="4"/>
  <c r="C141" i="4"/>
  <c r="C168" i="4"/>
  <c r="C96" i="6"/>
  <c r="C302" i="6"/>
  <c r="C51" i="6"/>
  <c r="C77" i="4"/>
  <c r="C156" i="5"/>
  <c r="C4" i="3"/>
  <c r="C71" i="6"/>
  <c r="C116" i="6"/>
  <c r="C74" i="1"/>
  <c r="C119" i="5"/>
  <c r="C213" i="5"/>
  <c r="C367" i="6"/>
  <c r="C351" i="6"/>
  <c r="C229" i="6"/>
  <c r="C42" i="5"/>
  <c r="C142" i="4"/>
  <c r="C383" i="6"/>
  <c r="C246" i="6"/>
  <c r="C68" i="4"/>
  <c r="C375" i="6"/>
  <c r="C192" i="6"/>
  <c r="C62" i="5"/>
  <c r="C28" i="1"/>
  <c r="C123" i="5"/>
  <c r="C169" i="5"/>
  <c r="C188" i="5"/>
  <c r="C173" i="6"/>
  <c r="C221" i="5"/>
  <c r="C39" i="5"/>
  <c r="C219" i="6"/>
  <c r="C361" i="6"/>
  <c r="C305" i="6"/>
  <c r="C68" i="6"/>
  <c r="C56" i="6"/>
  <c r="C299" i="6"/>
  <c r="C68" i="5"/>
  <c r="C74" i="6"/>
  <c r="C372" i="6"/>
  <c r="C95" i="5"/>
  <c r="C255" i="6"/>
  <c r="C19" i="6"/>
  <c r="C74" i="4"/>
  <c r="C13" i="5"/>
  <c r="C209" i="6"/>
  <c r="C354" i="6"/>
  <c r="C328" i="6"/>
  <c r="C65" i="5"/>
  <c r="C17" i="2"/>
  <c r="C64" i="6"/>
  <c r="C8" i="3"/>
  <c r="C268" i="6"/>
  <c r="C55" i="4"/>
  <c r="C6" i="6"/>
  <c r="C286" i="6"/>
  <c r="C222" i="4"/>
  <c r="C148" i="5"/>
  <c r="C310" i="6"/>
  <c r="C79" i="4"/>
  <c r="C353" i="6"/>
  <c r="C324" i="6"/>
  <c r="C47" i="1"/>
  <c r="C101" i="6"/>
  <c r="C146" i="6"/>
  <c r="C170" i="6"/>
  <c r="C171" i="6"/>
  <c r="C284" i="6"/>
  <c r="C17" i="5"/>
  <c r="C217" i="6"/>
  <c r="C275" i="6"/>
  <c r="C70" i="1"/>
  <c r="C2" i="3"/>
  <c r="C124" i="5"/>
  <c r="C62" i="1"/>
  <c r="C227" i="4"/>
  <c r="C370" i="6"/>
  <c r="C86" i="4"/>
  <c r="C14" i="3"/>
  <c r="C216" i="5"/>
  <c r="C216" i="4"/>
  <c r="C13" i="3"/>
  <c r="C24" i="2"/>
  <c r="C80" i="1"/>
  <c r="C131" i="4"/>
  <c r="C108" i="4"/>
  <c r="C32" i="2"/>
  <c r="C178" i="5"/>
  <c r="C224" i="6"/>
  <c r="C115" i="5"/>
  <c r="C70" i="5"/>
  <c r="C99" i="5"/>
  <c r="C215" i="4"/>
  <c r="C97" i="4"/>
  <c r="C50" i="4"/>
  <c r="C244" i="6"/>
  <c r="C113" i="6"/>
  <c r="C28" i="6"/>
  <c r="C210" i="4"/>
  <c r="C33" i="2"/>
  <c r="C258" i="6"/>
  <c r="C51" i="5"/>
  <c r="C267" i="6"/>
  <c r="C180" i="6"/>
  <c r="C197" i="4"/>
  <c r="C71" i="5"/>
  <c r="C161" i="5"/>
  <c r="C266" i="6"/>
  <c r="C45" i="4"/>
  <c r="C26" i="4"/>
  <c r="C29" i="1"/>
  <c r="C205" i="4"/>
  <c r="C20" i="6"/>
  <c r="C135" i="4"/>
  <c r="C71" i="4"/>
  <c r="C100" i="6"/>
  <c r="C48" i="5"/>
  <c r="C12" i="6"/>
  <c r="C166" i="4"/>
  <c r="C343" i="6"/>
  <c r="C197" i="5"/>
  <c r="C262" i="6"/>
  <c r="C165" i="6"/>
  <c r="C86" i="6"/>
  <c r="C141" i="5"/>
  <c r="C174" i="4"/>
  <c r="C77" i="1"/>
  <c r="C198" i="6"/>
  <c r="C346" i="6"/>
  <c r="C22" i="6"/>
  <c r="C67" i="1"/>
  <c r="C112" i="5"/>
  <c r="C110" i="6"/>
  <c r="C291" i="6"/>
  <c r="C80" i="4"/>
  <c r="C16" i="3"/>
  <c r="C225" i="4"/>
  <c r="C176" i="4"/>
  <c r="C58" i="5"/>
  <c r="C66" i="1"/>
  <c r="C50" i="6"/>
  <c r="C94" i="5"/>
  <c r="C203" i="6"/>
  <c r="C140" i="6"/>
  <c r="C53" i="5"/>
  <c r="C205" i="6"/>
  <c r="C279" i="6"/>
  <c r="C226" i="6"/>
  <c r="C42" i="1"/>
  <c r="C220" i="4"/>
  <c r="C132" i="4"/>
  <c r="C235" i="6"/>
  <c r="C163" i="6"/>
  <c r="C8" i="2"/>
  <c r="C69" i="6"/>
  <c r="C157" i="5"/>
  <c r="C164" i="6"/>
  <c r="C259" i="6"/>
  <c r="C11" i="4"/>
  <c r="C160" i="6"/>
  <c r="C117" i="5"/>
  <c r="C199" i="5"/>
  <c r="C187" i="5"/>
  <c r="C21" i="6"/>
  <c r="C61" i="4"/>
  <c r="C374" i="6"/>
  <c r="C138" i="6"/>
  <c r="C63" i="1"/>
  <c r="C179" i="4"/>
  <c r="C43" i="4"/>
  <c r="C200" i="6"/>
  <c r="C222" i="6"/>
  <c r="C344" i="6"/>
  <c r="C134" i="4"/>
  <c r="C41" i="1"/>
  <c r="C48" i="4"/>
  <c r="C115" i="6"/>
  <c r="C126" i="5"/>
  <c r="C47" i="5"/>
  <c r="C139" i="5"/>
  <c r="C253" i="6"/>
  <c r="C185" i="4"/>
  <c r="C72" i="6"/>
  <c r="C371" i="6"/>
  <c r="C49" i="5"/>
  <c r="C21" i="2"/>
  <c r="C274" i="6"/>
  <c r="C102" i="5"/>
  <c r="C200" i="5"/>
  <c r="C102" i="4"/>
  <c r="C316" i="6"/>
  <c r="C78" i="5"/>
  <c r="C80" i="6"/>
  <c r="C198" i="4"/>
  <c r="C182" i="6"/>
  <c r="C96" i="5"/>
  <c r="C337" i="6"/>
  <c r="C195" i="5"/>
  <c r="C25" i="2"/>
  <c r="C120" i="4"/>
  <c r="C25" i="4"/>
  <c r="C202" i="6"/>
  <c r="C382" i="6"/>
  <c r="C78" i="4"/>
  <c r="C138" i="5"/>
  <c r="C16" i="2"/>
  <c r="C130" i="5"/>
  <c r="C331" i="6"/>
  <c r="C135" i="5"/>
  <c r="C208" i="6"/>
  <c r="C207" i="6"/>
  <c r="C145" i="5"/>
  <c r="C162" i="6"/>
  <c r="C37" i="1"/>
  <c r="C293" i="6"/>
  <c r="C52" i="5"/>
  <c r="C234" i="6"/>
  <c r="C105" i="5"/>
  <c r="C161" i="4"/>
  <c r="C194" i="5"/>
  <c r="C245" i="6"/>
  <c r="C218" i="6"/>
  <c r="C113" i="5"/>
  <c r="C3" i="6"/>
  <c r="C76" i="6"/>
  <c r="C57" i="1"/>
  <c r="C165" i="4"/>
  <c r="C300" i="6"/>
  <c r="C9" i="4"/>
  <c r="C272" i="6"/>
  <c r="C62" i="6"/>
  <c r="C386" i="6"/>
  <c r="C349" i="6"/>
  <c r="C311" i="6"/>
  <c r="C40" i="1"/>
  <c r="C26" i="5"/>
  <c r="C150" i="6"/>
  <c r="C15" i="5"/>
  <c r="C48" i="6"/>
  <c r="C199" i="4"/>
  <c r="C6" i="4"/>
  <c r="C332" i="6"/>
  <c r="C323" i="6"/>
  <c r="C8" i="6"/>
  <c r="C368" i="6"/>
  <c r="C18" i="5"/>
  <c r="C280" i="6"/>
  <c r="C124" i="4"/>
  <c r="C6" i="2"/>
  <c r="C20" i="5"/>
  <c r="C173" i="5"/>
  <c r="C380" i="6"/>
  <c r="C120" i="6"/>
  <c r="C263" i="6"/>
  <c r="C41" i="5"/>
  <c r="C179" i="6"/>
  <c r="C82" i="6"/>
  <c r="C30" i="2"/>
  <c r="C131" i="5"/>
  <c r="C66" i="6"/>
  <c r="C114" i="5"/>
  <c r="C27" i="5"/>
  <c r="C12" i="2"/>
  <c r="C57" i="4"/>
  <c r="C183" i="6"/>
  <c r="C132" i="6"/>
  <c r="C144" i="4"/>
  <c r="C228" i="6"/>
  <c r="C26" i="3"/>
  <c r="C194" i="6"/>
  <c r="C9" i="2"/>
  <c r="C89" i="6"/>
  <c r="C27" i="2"/>
  <c r="C58" i="6"/>
  <c r="C83" i="6"/>
  <c r="C29" i="6"/>
  <c r="C379" i="6"/>
  <c r="C92" i="6"/>
  <c r="C3" i="3"/>
  <c r="C119" i="4"/>
  <c r="C39" i="6"/>
  <c r="C62" i="4"/>
  <c r="C82" i="4"/>
  <c r="C26" i="6"/>
  <c r="C290" i="6"/>
  <c r="C45" i="5"/>
  <c r="C357" i="6"/>
  <c r="C10" i="6"/>
  <c r="C37" i="6"/>
  <c r="C108" i="5"/>
  <c r="C120" i="5"/>
  <c r="C14" i="6"/>
  <c r="C11" i="6"/>
  <c r="C186" i="6"/>
  <c r="C78" i="6"/>
  <c r="C36" i="4"/>
  <c r="C150" i="5"/>
  <c r="C60" i="5"/>
  <c r="C359" i="6"/>
  <c r="C205" i="5"/>
  <c r="C14" i="4"/>
  <c r="C166" i="6"/>
  <c r="C45" i="6"/>
  <c r="C34" i="6"/>
  <c r="C33" i="4"/>
  <c r="C202" i="4"/>
  <c r="C172" i="5"/>
  <c r="C73" i="6"/>
  <c r="C107" i="6"/>
  <c r="C180" i="5"/>
  <c r="C173" i="4"/>
  <c r="C18" i="6"/>
  <c r="C159" i="6"/>
  <c r="C125" i="4"/>
  <c r="C63" i="6"/>
  <c r="C76" i="1"/>
  <c r="C206" i="6"/>
  <c r="C47" i="4"/>
  <c r="C212" i="5"/>
  <c r="C16" i="6"/>
  <c r="C111" i="6"/>
  <c r="C282" i="6"/>
  <c r="C29" i="4"/>
  <c r="C98" i="6"/>
  <c r="C281" i="6"/>
  <c r="C84" i="4"/>
  <c r="C41" i="6"/>
  <c r="C225" i="6"/>
  <c r="C56" i="4"/>
  <c r="C34" i="1"/>
  <c r="C175" i="4"/>
  <c r="C151" i="5"/>
  <c r="C22" i="5"/>
  <c r="C160" i="5"/>
  <c r="C34" i="4"/>
  <c r="C27" i="6"/>
  <c r="C15" i="6"/>
  <c r="C336" i="6"/>
  <c r="C2" i="2"/>
  <c r="C154" i="6"/>
  <c r="C15" i="4"/>
  <c r="C69" i="5"/>
  <c r="C111" i="4"/>
  <c r="C59" i="6"/>
  <c r="C229" i="4"/>
  <c r="C201" i="5"/>
  <c r="C132" i="5"/>
  <c r="C364" i="6"/>
  <c r="C83" i="1"/>
  <c r="C220" i="5"/>
  <c r="C181" i="4"/>
  <c r="C64" i="1"/>
  <c r="C171" i="4"/>
  <c r="C287" i="6"/>
  <c r="C183" i="4"/>
  <c r="C239" i="6"/>
  <c r="C18" i="3"/>
  <c r="C179" i="5"/>
  <c r="C152" i="5"/>
  <c r="C338" i="6"/>
  <c r="C72" i="1"/>
  <c r="C175" i="6"/>
  <c r="C50" i="5"/>
  <c r="C241" i="6"/>
  <c r="C314" i="6"/>
  <c r="C122" i="5"/>
  <c r="C76" i="4"/>
  <c r="C158" i="4"/>
  <c r="C248" i="6"/>
  <c r="C97" i="6"/>
  <c r="C63" i="5"/>
  <c r="C104" i="4"/>
  <c r="C377" i="6"/>
  <c r="C100" i="5"/>
  <c r="C101" i="5"/>
  <c r="C298" i="6"/>
  <c r="C318" i="6"/>
  <c r="C188" i="6"/>
  <c r="C230" i="4"/>
  <c r="C309" i="6"/>
  <c r="C198" i="5"/>
  <c r="C191" i="6"/>
  <c r="C219" i="5"/>
  <c r="C308" i="6"/>
  <c r="C369" i="6"/>
  <c r="C122" i="4"/>
  <c r="C350" i="6"/>
  <c r="C33" i="1"/>
  <c r="C88" i="6"/>
  <c r="C214" i="6"/>
  <c r="C335" i="6"/>
  <c r="C342" i="6"/>
  <c r="C121" i="5"/>
  <c r="C202" i="5"/>
  <c r="C63" i="4"/>
  <c r="C214" i="4"/>
  <c r="C352" i="6"/>
  <c r="C136" i="5"/>
  <c r="C2" i="6"/>
  <c r="C130" i="4"/>
  <c r="C77" i="6"/>
  <c r="C20" i="3"/>
  <c r="C169" i="6"/>
  <c r="C128" i="5"/>
  <c r="C144" i="6"/>
  <c r="C204" i="4"/>
  <c r="C156" i="4"/>
  <c r="C19" i="3"/>
  <c r="C159" i="5"/>
  <c r="C252" i="6"/>
  <c r="C378" i="6"/>
  <c r="C90" i="4"/>
  <c r="C223" i="6"/>
  <c r="C40" i="6"/>
  <c r="C28" i="5"/>
  <c r="C187" i="4"/>
  <c r="C189" i="5"/>
  <c r="C243" i="6"/>
  <c r="C339" i="6"/>
  <c r="C180" i="4"/>
  <c r="C327" i="6"/>
  <c r="C184" i="5"/>
  <c r="C81" i="4"/>
  <c r="C72" i="5"/>
  <c r="C181" i="5"/>
  <c r="C203" i="4"/>
  <c r="C53" i="1"/>
  <c r="C176" i="5"/>
  <c r="C75" i="6"/>
  <c r="C206" i="5"/>
  <c r="C322" i="6"/>
  <c r="C153" i="4"/>
  <c r="C174" i="5"/>
  <c r="C91" i="6"/>
  <c r="C226" i="4"/>
  <c r="C54" i="5"/>
  <c r="C307" i="6"/>
  <c r="C112" i="6"/>
  <c r="C91" i="4"/>
  <c r="C64" i="4"/>
  <c r="C30" i="6"/>
  <c r="C153" i="5"/>
  <c r="C381" i="6"/>
  <c r="C321" i="6"/>
  <c r="C144" i="5"/>
  <c r="C193" i="5"/>
  <c r="C162" i="5"/>
  <c r="C164" i="5"/>
  <c r="C117" i="6"/>
  <c r="C23" i="5"/>
  <c r="C162" i="4"/>
  <c r="C217" i="4"/>
  <c r="C105" i="6"/>
  <c r="C109" i="4"/>
  <c r="C277" i="6"/>
  <c r="C195" i="6"/>
  <c r="C23" i="3"/>
  <c r="C2" i="5"/>
  <c r="C95" i="6"/>
  <c r="C47" i="6"/>
  <c r="C175" i="5"/>
  <c r="C106" i="6"/>
  <c r="C301" i="6"/>
  <c r="C49" i="6"/>
  <c r="C105" i="4"/>
  <c r="C38" i="4"/>
  <c r="C5" i="4"/>
  <c r="C355" i="6"/>
  <c r="C59" i="5"/>
  <c r="C77" i="5"/>
  <c r="C153" i="6"/>
  <c r="C250" i="6"/>
  <c r="C156" i="6"/>
  <c r="C74" i="5"/>
  <c r="C160" i="4"/>
  <c r="C23" i="2"/>
  <c r="C121" i="6"/>
  <c r="C19" i="5"/>
  <c r="C270" i="6"/>
  <c r="C203" i="5"/>
  <c r="C106" i="5"/>
  <c r="C56" i="5"/>
  <c r="C24" i="1"/>
  <c r="C15" i="2"/>
  <c r="C25" i="5"/>
  <c r="C384" i="6"/>
  <c r="C60" i="1"/>
  <c r="C297" i="6"/>
  <c r="C36" i="6"/>
  <c r="C163" i="5"/>
  <c r="C341" i="6"/>
  <c r="C247" i="6"/>
  <c r="C64" i="5"/>
  <c r="C177" i="4"/>
  <c r="C92" i="4"/>
  <c r="C94" i="4"/>
  <c r="C61" i="1"/>
  <c r="C33" i="5"/>
  <c r="C93" i="6"/>
  <c r="C317" i="6"/>
  <c r="C99" i="4"/>
  <c r="C319" i="6"/>
  <c r="C38" i="6"/>
  <c r="C143" i="6"/>
  <c r="C101" i="4"/>
  <c r="C7" i="2"/>
  <c r="C75" i="1"/>
  <c r="C76" i="5"/>
  <c r="C137" i="4"/>
  <c r="C29" i="2"/>
  <c r="C20" i="2"/>
  <c r="C211" i="6"/>
  <c r="C313" i="6"/>
  <c r="C11" i="3"/>
  <c r="C118" i="4"/>
  <c r="C256" i="6"/>
  <c r="C70" i="4"/>
  <c r="C32" i="6"/>
  <c r="C59" i="1"/>
  <c r="C358" i="6"/>
  <c r="C44" i="6"/>
  <c r="C17" i="4"/>
  <c r="C148" i="6"/>
  <c r="C204" i="5"/>
  <c r="C251" i="6"/>
  <c r="C10" i="2"/>
  <c r="C130" i="6"/>
  <c r="C102" i="6"/>
  <c r="C5" i="3"/>
  <c r="C100" i="4"/>
  <c r="C215" i="6"/>
  <c r="C44" i="5"/>
  <c r="C13" i="2"/>
  <c r="C151" i="4"/>
  <c r="C54" i="6"/>
  <c r="C376" i="6"/>
  <c r="C273" i="6"/>
  <c r="C170" i="4"/>
  <c r="C79" i="6"/>
  <c r="C42" i="6"/>
  <c r="C356" i="6"/>
  <c r="C292" i="6"/>
  <c r="C329" i="6"/>
  <c r="C195" i="4"/>
  <c r="C54" i="1"/>
  <c r="C73" i="1"/>
  <c r="C2" i="4"/>
  <c r="C55" i="6"/>
  <c r="C9" i="3"/>
  <c r="C25" i="1"/>
  <c r="C134" i="6"/>
  <c r="C139" i="4"/>
  <c r="C158" i="6"/>
  <c r="C178" i="6"/>
  <c r="C191" i="4"/>
  <c r="C176" i="6"/>
  <c r="C56" i="1"/>
  <c r="C116" i="4"/>
  <c r="C69" i="4"/>
  <c r="C139" i="6"/>
  <c r="C189" i="4"/>
  <c r="C82" i="1"/>
  <c r="C23" i="4"/>
  <c r="C177" i="5"/>
  <c r="C20" i="4"/>
  <c r="C295" i="6"/>
  <c r="C81" i="1"/>
  <c r="C68" i="1"/>
  <c r="C218" i="5"/>
  <c r="C211" i="5"/>
  <c r="C186" i="5"/>
  <c r="C149" i="5"/>
  <c r="C192" i="5"/>
  <c r="C366" i="6"/>
  <c r="C61" i="5"/>
  <c r="C330" i="6"/>
  <c r="C333" i="6"/>
  <c r="C22" i="3"/>
  <c r="C70" i="6"/>
  <c r="C88" i="4"/>
  <c r="C134" i="5"/>
  <c r="C191" i="5"/>
  <c r="C18" i="2"/>
  <c r="C155" i="6"/>
  <c r="C16" i="5"/>
  <c r="C271" i="6"/>
  <c r="C89" i="4"/>
  <c r="C172" i="4"/>
  <c r="C373" i="6"/>
  <c r="C206" i="4"/>
  <c r="C209" i="5"/>
  <c r="C210" i="5"/>
  <c r="C140" i="5"/>
  <c r="C118" i="5"/>
  <c r="C171" i="5"/>
  <c r="C127" i="6"/>
  <c r="C155" i="4"/>
  <c r="C365" i="6"/>
  <c r="C387" i="6"/>
  <c r="C55" i="5"/>
  <c r="C26" i="2"/>
  <c r="C212" i="6"/>
  <c r="C306" i="6"/>
  <c r="C325" i="6"/>
  <c r="C185" i="6"/>
  <c r="C31" i="1"/>
  <c r="C123" i="4"/>
  <c r="C261" i="6"/>
  <c r="C31" i="6"/>
  <c r="C3" i="2"/>
  <c r="C217" i="5"/>
  <c r="C110" i="4"/>
  <c r="C184" i="6"/>
  <c r="C157" i="6"/>
  <c r="C116" i="5"/>
  <c r="C151" i="6"/>
  <c r="C278" i="6"/>
  <c r="C13" i="6"/>
  <c r="C14" i="2"/>
  <c r="C208" i="5"/>
  <c r="C11" i="2"/>
  <c r="C196" i="6"/>
  <c r="C209" i="4"/>
  <c r="C3" i="4"/>
  <c r="C146" i="5"/>
  <c r="C190" i="6"/>
  <c r="C58" i="1"/>
  <c r="C133" i="6"/>
  <c r="C294" i="6"/>
  <c r="C14" i="5"/>
  <c r="C315" i="6"/>
  <c r="C178" i="4"/>
  <c r="C216" i="6"/>
  <c r="C43" i="5"/>
  <c r="C233" i="6"/>
  <c r="C240" i="6"/>
  <c r="C28" i="4"/>
  <c r="C17" i="3"/>
  <c r="C168" i="5"/>
  <c r="C163" i="4"/>
  <c r="C224" i="4"/>
  <c r="C115" i="4"/>
  <c r="C184" i="4"/>
  <c r="C35" i="6"/>
  <c r="C73" i="5"/>
  <c r="C4" i="2"/>
  <c r="C73" i="4"/>
  <c r="C152" i="4"/>
  <c r="C345" i="6"/>
  <c r="C84" i="6"/>
  <c r="C107" i="4"/>
  <c r="C93" i="4"/>
  <c r="C8" i="4"/>
  <c r="C265" i="6"/>
  <c r="C19" i="2"/>
  <c r="C157" i="4"/>
  <c r="C174" i="6"/>
  <c r="C126" i="4"/>
  <c r="C360" i="6"/>
  <c r="C215" i="5"/>
  <c r="C129" i="5"/>
  <c r="C67" i="5"/>
  <c r="C283" i="6"/>
  <c r="C168" i="6"/>
  <c r="C24" i="5"/>
  <c r="C147" i="5"/>
  <c r="C96" i="4"/>
  <c r="C334" i="6"/>
  <c r="C148" i="4"/>
  <c r="C362" i="6"/>
  <c r="C207" i="4"/>
  <c r="C46" i="5"/>
  <c r="C220" i="6"/>
  <c r="C154" i="5"/>
  <c r="C190" i="5"/>
  <c r="C79" i="1"/>
  <c r="C304" i="6"/>
  <c r="C19" i="4"/>
  <c r="C388" i="6"/>
  <c r="C15" i="3"/>
  <c r="C67" i="6"/>
  <c r="C200" i="4"/>
  <c r="C218" i="4"/>
  <c r="C24" i="3"/>
  <c r="C75" i="4"/>
  <c r="C5" i="2"/>
  <c r="C9" i="6"/>
  <c r="C60" i="4"/>
  <c r="C21" i="3"/>
  <c r="C4" i="4"/>
  <c r="C79" i="5"/>
  <c r="C22" i="4"/>
  <c r="C103" i="4"/>
  <c r="C97" i="5"/>
  <c r="C127" i="4"/>
  <c r="C81" i="6"/>
  <c r="C254" i="6"/>
  <c r="C36" i="1"/>
  <c r="C170" i="5"/>
  <c r="C118" i="6"/>
  <c r="C52" i="6"/>
  <c r="C197" i="6"/>
  <c r="C193" i="6"/>
  <c r="C154" i="4"/>
  <c r="C110" i="5"/>
  <c r="C289" i="6"/>
  <c r="C276" i="6"/>
  <c r="C211" i="4"/>
  <c r="C199" i="6"/>
  <c r="C121" i="4"/>
  <c r="C104" i="6"/>
  <c r="C23" i="6"/>
  <c r="C219" i="4"/>
  <c r="C4" i="6"/>
  <c r="C167" i="5"/>
  <c r="C125" i="6"/>
  <c r="C320" i="6"/>
  <c r="C223" i="4"/>
  <c r="C133" i="5"/>
  <c r="C36" i="5"/>
  <c r="C106" i="4"/>
  <c r="C12" i="3"/>
  <c r="C145" i="4"/>
  <c r="C30" i="5"/>
  <c r="C35" i="1"/>
  <c r="C125" i="5"/>
  <c r="C192" i="4"/>
  <c r="C72" i="4"/>
  <c r="C159" i="4"/>
  <c r="C142" i="6"/>
  <c r="C128" i="4"/>
  <c r="C141" i="6"/>
  <c r="C114" i="6"/>
  <c r="C165" i="5"/>
  <c r="C53" i="6"/>
  <c r="C137" i="5"/>
  <c r="C113" i="4"/>
  <c r="C117" i="4"/>
  <c r="C54" i="4"/>
  <c r="C257" i="6"/>
  <c r="C87" i="6"/>
  <c r="C348" i="6"/>
  <c r="C230" i="6"/>
  <c r="C22" i="2"/>
  <c r="C87" i="4"/>
  <c r="C75" i="5"/>
  <c r="C231" i="6"/>
  <c r="C60" i="6"/>
  <c r="C196" i="5"/>
  <c r="C84" i="1"/>
  <c r="C127" i="5"/>
  <c r="C196" i="4"/>
  <c r="C189" i="6"/>
  <c r="C28" i="2"/>
  <c r="C122" i="6"/>
  <c r="C5" i="6"/>
  <c r="C213" i="6"/>
  <c r="C169" i="4"/>
  <c r="C340" i="6"/>
  <c r="C10" i="4"/>
  <c r="C181" i="6"/>
  <c r="C93" i="5"/>
  <c r="C65" i="6"/>
  <c r="C228" i="4"/>
  <c r="C136" i="6"/>
  <c r="C98" i="4"/>
  <c r="C131" i="6"/>
  <c r="C33" i="6"/>
  <c r="C109" i="5"/>
  <c r="C188" i="4"/>
  <c r="C7" i="4"/>
  <c r="C152" i="6"/>
  <c r="C193" i="4"/>
  <c r="C29" i="5"/>
  <c r="C210" i="6"/>
  <c r="C111" i="5"/>
  <c r="C208" i="4"/>
  <c r="C108" i="6"/>
  <c r="C155" i="5"/>
  <c r="C227" i="6"/>
  <c r="C32" i="1"/>
  <c r="C109" i="6"/>
  <c r="C65" i="1"/>
  <c r="C296" i="6"/>
  <c r="C126" i="6"/>
  <c r="C112" i="4"/>
  <c r="C114" i="4"/>
  <c r="C38" i="5"/>
  <c r="C312" i="6"/>
  <c r="C57" i="6"/>
  <c r="C53" i="4"/>
  <c r="C43" i="6"/>
  <c r="C133" i="4"/>
  <c r="C21" i="5"/>
  <c r="C182" i="4"/>
  <c r="C66" i="5"/>
  <c r="C186" i="4"/>
  <c r="C94" i="6"/>
  <c r="C69" i="1"/>
  <c r="C39" i="1"/>
  <c r="C172" i="6"/>
  <c r="C385" i="6"/>
  <c r="C67" i="4"/>
  <c r="C129" i="6"/>
  <c r="C214" i="5"/>
  <c r="C143" i="4"/>
  <c r="C7" i="6"/>
  <c r="C140" i="4"/>
  <c r="C119" i="6"/>
  <c r="C222" i="5"/>
  <c r="C363" i="6"/>
  <c r="C232" i="6"/>
  <c r="C150" i="4"/>
  <c r="C185" i="5"/>
  <c r="C83" i="4"/>
  <c r="C37" i="4"/>
  <c r="C136" i="4"/>
  <c r="C103" i="6"/>
  <c r="C260" i="6"/>
  <c r="C25" i="3"/>
  <c r="C236" i="6"/>
  <c r="C142" i="5"/>
  <c r="C145" i="6"/>
  <c r="C25" i="6"/>
  <c r="C61" i="6"/>
  <c r="C221" i="6"/>
  <c r="C347" i="6"/>
  <c r="C38" i="1"/>
  <c r="C103" i="5"/>
  <c r="C389" i="6"/>
  <c r="C158" i="5"/>
  <c r="C161" i="6"/>
  <c r="C35" i="5"/>
  <c r="C167" i="6"/>
  <c r="C129" i="4"/>
  <c r="C46" i="6"/>
  <c r="C143" i="5"/>
  <c r="C137" i="6"/>
  <c r="C147" i="6"/>
  <c r="C85" i="6"/>
  <c r="C99" i="6"/>
  <c r="C164" i="4"/>
  <c r="C149" i="4"/>
  <c r="C71" i="1"/>
  <c r="C98" i="5"/>
  <c r="C124" i="6"/>
  <c r="C31" i="2"/>
  <c r="C204" i="6"/>
  <c r="C147" i="4"/>
  <c r="C32" i="5"/>
  <c r="C95" i="4"/>
  <c r="C177" i="6"/>
  <c r="C303" i="6"/>
  <c r="C201" i="4"/>
  <c r="C201" i="6"/>
  <c r="C288" i="6"/>
  <c r="C149" i="6"/>
  <c r="C269" i="6"/>
  <c r="C238" i="6"/>
  <c r="C24" i="6"/>
  <c r="C242" i="6"/>
  <c r="C237" i="6"/>
  <c r="C57" i="5"/>
  <c r="C30" i="1"/>
  <c r="C182" i="5"/>
  <c r="C17" i="6"/>
  <c r="C10" i="3"/>
  <c r="C12" i="5"/>
  <c r="C55" i="1"/>
  <c r="C166" i="5"/>
  <c r="C221" i="4"/>
  <c r="C167" i="4"/>
  <c r="C78" i="1"/>
  <c r="C35" i="4"/>
  <c r="C207" i="5"/>
  <c r="C49" i="4"/>
  <c r="C213" i="4"/>
  <c r="C135" i="6"/>
  <c r="C249" i="6"/>
  <c r="C264" i="6"/>
  <c r="C128" i="6"/>
  <c r="C190" i="4"/>
  <c r="C326" i="6"/>
  <c r="C212" i="4"/>
  <c r="C187" i="6"/>
  <c r="C138" i="4"/>
  <c r="C285" i="6"/>
  <c r="C194" i="4"/>
  <c r="C85" i="4"/>
  <c r="C90" i="6"/>
  <c r="C183" i="5"/>
  <c r="C123" i="6"/>
  <c r="P93" i="5" l="1"/>
  <c r="P96" i="5"/>
  <c r="P94" i="5"/>
  <c r="P95" i="5"/>
  <c r="Q10" i="3"/>
  <c r="I59" i="5"/>
  <c r="H59" i="5" s="1"/>
  <c r="P59" i="5" s="1"/>
  <c r="I32" i="6"/>
  <c r="H32" i="6" s="1"/>
  <c r="P32" i="6" s="1"/>
  <c r="P23" i="2"/>
  <c r="I23" i="2"/>
  <c r="H23" i="2" s="1"/>
  <c r="Q23" i="2"/>
  <c r="I51" i="6"/>
  <c r="H51" i="6" s="1"/>
  <c r="Q51" i="6" s="1"/>
  <c r="I34" i="4"/>
  <c r="H34" i="4" s="1"/>
  <c r="P34" i="4" s="1"/>
  <c r="I32" i="1"/>
  <c r="H32" i="1" s="1"/>
  <c r="P32" i="1" s="1"/>
  <c r="P64" i="1"/>
  <c r="Q64" i="1"/>
  <c r="I64" i="1"/>
  <c r="H64" i="1" s="1"/>
  <c r="I176" i="5"/>
  <c r="H176" i="5" s="1"/>
  <c r="P176" i="5" s="1"/>
  <c r="Q54" i="1"/>
  <c r="I54" i="1"/>
  <c r="H54" i="1" s="1"/>
  <c r="P54" i="1"/>
  <c r="I105" i="4"/>
  <c r="H105" i="4" s="1"/>
  <c r="P105" i="4" s="1"/>
  <c r="I219" i="4"/>
  <c r="H219" i="4" s="1"/>
  <c r="P219" i="4" s="1"/>
  <c r="I209" i="4"/>
  <c r="H209" i="4" s="1"/>
  <c r="Q209" i="4" s="1"/>
  <c r="I216" i="4"/>
  <c r="H216" i="4" s="1"/>
  <c r="Q216" i="4" s="1"/>
  <c r="P215" i="4"/>
  <c r="Q215" i="4"/>
  <c r="I215" i="4"/>
  <c r="H215" i="4" s="1"/>
  <c r="I14" i="2"/>
  <c r="H14" i="2" s="1"/>
  <c r="P14" i="2"/>
  <c r="Q14" i="2"/>
  <c r="I206" i="4"/>
  <c r="H206" i="4" s="1"/>
  <c r="P206" i="4" s="1"/>
  <c r="I111" i="5"/>
  <c r="H111" i="5" s="1"/>
  <c r="P111" i="5" s="1"/>
  <c r="Q29" i="2"/>
  <c r="P29" i="2"/>
  <c r="I29" i="2"/>
  <c r="H29" i="2" s="1"/>
  <c r="I34" i="6"/>
  <c r="H34" i="6" s="1"/>
  <c r="P34" i="6" s="1"/>
  <c r="I19" i="2"/>
  <c r="H19" i="2" s="1"/>
  <c r="P19" i="2"/>
  <c r="Q19" i="2"/>
  <c r="I222" i="4"/>
  <c r="H222" i="4" s="1"/>
  <c r="P222" i="4" s="1"/>
  <c r="I113" i="4"/>
  <c r="H113" i="4" s="1"/>
  <c r="P113" i="4" s="1"/>
  <c r="I150" i="5"/>
  <c r="H150" i="5" s="1"/>
  <c r="I151" i="5" s="1"/>
  <c r="H151" i="5" s="1"/>
  <c r="P151" i="5" s="1"/>
  <c r="I222" i="6"/>
  <c r="H222" i="6" s="1"/>
  <c r="Q222" i="6" s="1"/>
  <c r="I79" i="5"/>
  <c r="H79" i="5" s="1"/>
  <c r="P79" i="5" s="1"/>
  <c r="I35" i="1"/>
  <c r="H35" i="1" s="1"/>
  <c r="P35" i="1" s="1"/>
  <c r="I27" i="2"/>
  <c r="H27" i="2" s="1"/>
  <c r="Q27" i="2" s="1"/>
  <c r="I188" i="4"/>
  <c r="H188" i="4" s="1"/>
  <c r="Q188" i="4" s="1"/>
  <c r="I123" i="5"/>
  <c r="H123" i="5" s="1"/>
  <c r="P123" i="5" s="1"/>
  <c r="I12" i="6"/>
  <c r="H12" i="6" s="1"/>
  <c r="Q12" i="6" s="1"/>
  <c r="P98" i="5"/>
  <c r="I98" i="5"/>
  <c r="H98" i="5" s="1"/>
  <c r="Q98" i="5"/>
  <c r="I220" i="5"/>
  <c r="H220" i="5" s="1"/>
  <c r="P220" i="5" s="1"/>
  <c r="P5" i="2"/>
  <c r="I5" i="2"/>
  <c r="H5" i="2" s="1"/>
  <c r="Q5" i="2"/>
  <c r="P50" i="6"/>
  <c r="I50" i="6"/>
  <c r="H50" i="6" s="1"/>
  <c r="Q50" i="6"/>
  <c r="I56" i="5"/>
  <c r="H56" i="5" s="1"/>
  <c r="P56" i="5" s="1"/>
  <c r="I119" i="5"/>
  <c r="H119" i="5" s="1"/>
  <c r="P119" i="5" s="1"/>
  <c r="I18" i="3"/>
  <c r="H18" i="3" s="1"/>
  <c r="Q18" i="3" s="1"/>
  <c r="I77" i="1"/>
  <c r="H77" i="1" s="1"/>
  <c r="P77" i="1"/>
  <c r="Q77" i="1"/>
  <c r="I39" i="1"/>
  <c r="H39" i="1" s="1"/>
  <c r="P39" i="1" s="1"/>
  <c r="I190" i="5"/>
  <c r="H190" i="5" s="1"/>
  <c r="P190" i="5" s="1"/>
  <c r="I154" i="4"/>
  <c r="H154" i="4" s="1"/>
  <c r="I155" i="4" s="1"/>
  <c r="H155" i="4" s="1"/>
  <c r="P155" i="4" s="1"/>
  <c r="I24" i="5"/>
  <c r="H24" i="5" s="1"/>
  <c r="Q24" i="5"/>
  <c r="P24" i="5"/>
  <c r="I25" i="2"/>
  <c r="H25" i="2" s="1"/>
  <c r="Q25" i="2" s="1"/>
  <c r="I207" i="5"/>
  <c r="H207" i="5" s="1"/>
  <c r="P207" i="5" s="1"/>
  <c r="I2" i="3"/>
  <c r="H2" i="3" s="1"/>
  <c r="Q2" i="3"/>
  <c r="P2" i="3"/>
  <c r="P99" i="5"/>
  <c r="I99" i="5"/>
  <c r="H99" i="5" s="1"/>
  <c r="Q99" i="5"/>
  <c r="I64" i="4"/>
  <c r="H64" i="4" s="1"/>
  <c r="I65" i="4" s="1"/>
  <c r="I25" i="6"/>
  <c r="I199" i="6"/>
  <c r="H199" i="6" s="1"/>
  <c r="P199" i="6" s="1"/>
  <c r="P21" i="2"/>
  <c r="I21" i="2"/>
  <c r="H21" i="2" s="1"/>
  <c r="Q21" i="2"/>
  <c r="I187" i="4"/>
  <c r="H187" i="4" s="1"/>
  <c r="Q187" i="4" s="1"/>
  <c r="I79" i="6"/>
  <c r="H79" i="6" s="1"/>
  <c r="P79" i="6" s="1"/>
  <c r="I47" i="5"/>
  <c r="H47" i="5" s="1"/>
  <c r="Q47" i="5"/>
  <c r="P47" i="5"/>
  <c r="I73" i="4"/>
  <c r="H73" i="4" s="1"/>
  <c r="Q73" i="4"/>
  <c r="P73" i="4"/>
  <c r="Q95" i="5"/>
  <c r="I95" i="5"/>
  <c r="H95" i="5" s="1"/>
  <c r="I39" i="6"/>
  <c r="H39" i="6" s="1"/>
  <c r="Q39" i="6" s="1"/>
  <c r="I188" i="6"/>
  <c r="H188" i="6" s="1"/>
  <c r="Q188" i="6" s="1"/>
  <c r="I20" i="4"/>
  <c r="H20" i="4" s="1"/>
  <c r="I21" i="4" s="1"/>
  <c r="H21" i="4" s="1"/>
  <c r="Q105" i="5"/>
  <c r="P105" i="5"/>
  <c r="I105" i="5"/>
  <c r="H105" i="5" s="1"/>
  <c r="Q124" i="5"/>
  <c r="I124" i="5"/>
  <c r="P124" i="5"/>
  <c r="I233" i="6"/>
  <c r="H233" i="6" s="1"/>
  <c r="I234" i="6" s="1"/>
  <c r="H234" i="6" s="1"/>
  <c r="Q234" i="6" s="1"/>
  <c r="P42" i="5"/>
  <c r="Q42" i="5"/>
  <c r="I42" i="5"/>
  <c r="H42" i="5" s="1"/>
  <c r="I63" i="5"/>
  <c r="H63" i="5" s="1"/>
  <c r="P63" i="5" s="1"/>
  <c r="I181" i="4"/>
  <c r="H181" i="4" s="1"/>
  <c r="I182" i="4" s="1"/>
  <c r="H182" i="4" s="1"/>
  <c r="P182" i="4" s="1"/>
  <c r="I86" i="4"/>
  <c r="H86" i="4" s="1"/>
  <c r="P86" i="4" s="1"/>
  <c r="Q48" i="5"/>
  <c r="I48" i="5"/>
  <c r="H48" i="5" s="1"/>
  <c r="P48" i="5"/>
  <c r="P20" i="5"/>
  <c r="Q20" i="5"/>
  <c r="I20" i="5"/>
  <c r="H20" i="5" s="1"/>
  <c r="I74" i="5"/>
  <c r="H74" i="5" s="1"/>
  <c r="P74" i="5" s="1"/>
  <c r="I198" i="4"/>
  <c r="H198" i="4" s="1"/>
  <c r="Q198" i="4" s="1"/>
  <c r="I229" i="4"/>
  <c r="H229" i="4" s="1"/>
  <c r="P229" i="4" s="1"/>
  <c r="P228" i="4"/>
  <c r="I228" i="4"/>
  <c r="H228" i="4" s="1"/>
  <c r="Q228" i="4"/>
  <c r="I149" i="4"/>
  <c r="H149" i="4" s="1"/>
  <c r="P149" i="4"/>
  <c r="Q149" i="4"/>
  <c r="I122" i="6"/>
  <c r="H122" i="6" s="1"/>
  <c r="Q122" i="6" s="1"/>
  <c r="I123" i="4"/>
  <c r="H123" i="4" s="1"/>
  <c r="I124" i="4" s="1"/>
  <c r="H124" i="4" s="1"/>
  <c r="P124" i="4" s="1"/>
  <c r="I59" i="1"/>
  <c r="H59" i="1" s="1"/>
  <c r="Q59" i="1"/>
  <c r="P59" i="1"/>
  <c r="I207" i="4"/>
  <c r="H207" i="4" s="1"/>
  <c r="P207" i="4" s="1"/>
  <c r="I2" i="5"/>
  <c r="H2" i="5" s="1"/>
  <c r="Q2" i="5"/>
  <c r="P2" i="5"/>
  <c r="I55" i="5"/>
  <c r="H55" i="5" s="1"/>
  <c r="P55" i="5" s="1"/>
  <c r="I178" i="5"/>
  <c r="H178" i="5" s="1"/>
  <c r="P178" i="5" s="1"/>
  <c r="P17" i="2"/>
  <c r="I17" i="2"/>
  <c r="H17" i="2" s="1"/>
  <c r="Q17" i="2"/>
  <c r="I78" i="6"/>
  <c r="H78" i="6" s="1"/>
  <c r="P78" i="6" s="1"/>
  <c r="I137" i="4"/>
  <c r="H137" i="4" s="1"/>
  <c r="I138" i="4" s="1"/>
  <c r="H138" i="4" s="1"/>
  <c r="I139" i="4" s="1"/>
  <c r="H139" i="4" s="1"/>
  <c r="Q139" i="4" s="1"/>
  <c r="I6" i="6"/>
  <c r="H6" i="6" s="1"/>
  <c r="P6" i="6" s="1"/>
  <c r="I43" i="4"/>
  <c r="H43" i="4" s="1"/>
  <c r="P43" i="4" s="1"/>
  <c r="I130" i="4"/>
  <c r="H130" i="4" s="1"/>
  <c r="P130" i="4" s="1"/>
  <c r="I187" i="5"/>
  <c r="H187" i="5" s="1"/>
  <c r="I188" i="5" s="1"/>
  <c r="H188" i="5" s="1"/>
  <c r="P188" i="5" s="1"/>
  <c r="I57" i="4"/>
  <c r="H57" i="4" s="1"/>
  <c r="I58" i="4" s="1"/>
  <c r="I115" i="4"/>
  <c r="H115" i="4" s="1"/>
  <c r="P115" i="4" s="1"/>
  <c r="I39" i="5"/>
  <c r="H39" i="5" s="1"/>
  <c r="P39" i="5" s="1"/>
  <c r="I30" i="5"/>
  <c r="H30" i="5" s="1"/>
  <c r="P30" i="5" s="1"/>
  <c r="I9" i="2"/>
  <c r="H9" i="2" s="1"/>
  <c r="P9" i="2" s="1"/>
  <c r="P62" i="5"/>
  <c r="Q62" i="5"/>
  <c r="I62" i="5"/>
  <c r="H62" i="5" s="1"/>
  <c r="I41" i="6"/>
  <c r="H41" i="6" s="1"/>
  <c r="Q41" i="6" s="1"/>
  <c r="I195" i="6"/>
  <c r="H195" i="6" s="1"/>
  <c r="Q195" i="6" s="1"/>
  <c r="I223" i="4"/>
  <c r="H223" i="4" s="1"/>
  <c r="P223" i="4" s="1"/>
  <c r="I199" i="4"/>
  <c r="H199" i="4" s="1"/>
  <c r="P199" i="4" s="1"/>
  <c r="P62" i="1"/>
  <c r="Q62" i="1"/>
  <c r="I62" i="1"/>
  <c r="H62" i="1" s="1"/>
  <c r="I162" i="5"/>
  <c r="H162" i="5" s="1"/>
  <c r="P162" i="5" s="1"/>
  <c r="I112" i="5"/>
  <c r="H112" i="5" s="1"/>
  <c r="Q112" i="5" s="1"/>
  <c r="I201" i="6"/>
  <c r="H201" i="6" s="1"/>
  <c r="Q201" i="6" s="1"/>
  <c r="I57" i="1"/>
  <c r="H57" i="1" s="1"/>
  <c r="Q57" i="1"/>
  <c r="P57" i="1"/>
  <c r="I17" i="4"/>
  <c r="H17" i="4" s="1"/>
  <c r="P17" i="4" s="1"/>
  <c r="I201" i="5"/>
  <c r="H201" i="5" s="1"/>
  <c r="P201" i="5" s="1"/>
  <c r="Q69" i="1"/>
  <c r="I69" i="1"/>
  <c r="H69" i="1" s="1"/>
  <c r="P69" i="1"/>
  <c r="I194" i="4"/>
  <c r="H194" i="4" s="1"/>
  <c r="P194" i="4" s="1"/>
  <c r="I193" i="5"/>
  <c r="H193" i="5" s="1"/>
  <c r="Q193" i="5" s="1"/>
  <c r="I204" i="4"/>
  <c r="H204" i="4" s="1"/>
  <c r="Q204" i="4" s="1"/>
  <c r="I172" i="4"/>
  <c r="H172" i="4" s="1"/>
  <c r="Q172" i="4" s="1"/>
  <c r="I186" i="4"/>
  <c r="H186" i="4" s="1"/>
  <c r="P186" i="4" s="1"/>
  <c r="P18" i="2"/>
  <c r="Q18" i="2"/>
  <c r="I18" i="2"/>
  <c r="H18" i="2" s="1"/>
  <c r="I40" i="6"/>
  <c r="H40" i="6" s="1"/>
  <c r="Q40" i="6" s="1"/>
  <c r="I103" i="4"/>
  <c r="H103" i="4" s="1"/>
  <c r="P103" i="4" s="1"/>
  <c r="I121" i="5"/>
  <c r="H121" i="5" s="1"/>
  <c r="P121" i="5" s="1"/>
  <c r="I45" i="5"/>
  <c r="H45" i="5" s="1"/>
  <c r="Q45" i="5"/>
  <c r="P45" i="5"/>
  <c r="I4" i="2"/>
  <c r="H4" i="2" s="1"/>
  <c r="P4" i="2" s="1"/>
  <c r="Q72" i="4"/>
  <c r="P72" i="4"/>
  <c r="I72" i="4"/>
  <c r="H72" i="4" s="1"/>
  <c r="I177" i="5"/>
  <c r="H177" i="5" s="1"/>
  <c r="P177" i="5" s="1"/>
  <c r="I214" i="6"/>
  <c r="H214" i="6" s="1"/>
  <c r="Q214" i="6" s="1"/>
  <c r="Q21" i="3"/>
  <c r="I21" i="3"/>
  <c r="H21" i="3" s="1"/>
  <c r="P21" i="3"/>
  <c r="I150" i="4"/>
  <c r="H150" i="4" s="1"/>
  <c r="Q150" i="4" s="1"/>
  <c r="Q219" i="5"/>
  <c r="I219" i="5"/>
  <c r="H219" i="5" s="1"/>
  <c r="P219" i="5"/>
  <c r="I205" i="6"/>
  <c r="H205" i="6" s="1"/>
  <c r="Q205" i="6" s="1"/>
  <c r="I226" i="4"/>
  <c r="H226" i="4" s="1"/>
  <c r="P226" i="4"/>
  <c r="Q226" i="4"/>
  <c r="I27" i="5"/>
  <c r="H27" i="5" s="1"/>
  <c r="Q27" i="5" s="1"/>
  <c r="I58" i="5"/>
  <c r="H58" i="5" s="1"/>
  <c r="P58" i="5" s="1"/>
  <c r="I24" i="3"/>
  <c r="H24" i="3" s="1"/>
  <c r="P24" i="3"/>
  <c r="Q24" i="3"/>
  <c r="I29" i="1"/>
  <c r="H29" i="1" s="1"/>
  <c r="P29" i="1" s="1"/>
  <c r="Q44" i="5"/>
  <c r="I44" i="5"/>
  <c r="H44" i="5" s="1"/>
  <c r="P44" i="5"/>
  <c r="I4" i="3"/>
  <c r="H4" i="3" s="1"/>
  <c r="P4" i="3"/>
  <c r="Q4" i="3"/>
  <c r="I250" i="6"/>
  <c r="H250" i="6" s="1"/>
  <c r="P250" i="6" s="1"/>
  <c r="I80" i="1"/>
  <c r="H80" i="1" s="1"/>
  <c r="P80" i="1"/>
  <c r="Q80" i="1"/>
  <c r="I33" i="2"/>
  <c r="H33" i="2" s="1"/>
  <c r="P33" i="2" s="1"/>
  <c r="P112" i="4"/>
  <c r="Q112" i="4"/>
  <c r="I112" i="4"/>
  <c r="H112" i="4" s="1"/>
  <c r="I231" i="6"/>
  <c r="H231" i="6" s="1"/>
  <c r="Q231" i="6" s="1"/>
  <c r="I69" i="5"/>
  <c r="H69" i="5" s="1"/>
  <c r="P69" i="5" s="1"/>
  <c r="I17" i="5"/>
  <c r="H17" i="5" s="1"/>
  <c r="P17" i="5" s="1"/>
  <c r="I72" i="5"/>
  <c r="H72" i="5" s="1"/>
  <c r="P72" i="5" s="1"/>
  <c r="Q22" i="5"/>
  <c r="P22" i="5"/>
  <c r="I22" i="5"/>
  <c r="H22" i="5" s="1"/>
  <c r="Q52" i="5"/>
  <c r="I52" i="5"/>
  <c r="H52" i="5" s="1"/>
  <c r="P52" i="5"/>
  <c r="I200" i="5"/>
  <c r="H200" i="5" s="1"/>
  <c r="P200" i="5" s="1"/>
  <c r="I53" i="6"/>
  <c r="H53" i="6" s="1"/>
  <c r="Q53" i="6" s="1"/>
  <c r="Q12" i="5"/>
  <c r="I12" i="5"/>
  <c r="H12" i="5" s="1"/>
  <c r="P12" i="5"/>
  <c r="I76" i="5"/>
  <c r="H76" i="5" s="1"/>
  <c r="P76" i="5" s="1"/>
  <c r="I205" i="5"/>
  <c r="H205" i="5" s="1"/>
  <c r="P205" i="5" s="1"/>
  <c r="I8" i="4"/>
  <c r="H8" i="4" s="1"/>
  <c r="P8" i="4" s="1"/>
  <c r="Q3" i="3"/>
  <c r="I3" i="3"/>
  <c r="H3" i="3" s="1"/>
  <c r="P3" i="3"/>
  <c r="Q63" i="1"/>
  <c r="P63" i="1"/>
  <c r="I63" i="1"/>
  <c r="H63" i="1" s="1"/>
  <c r="I61" i="5"/>
  <c r="H61" i="5" s="1"/>
  <c r="P61" i="5" s="1"/>
  <c r="I136" i="5"/>
  <c r="H136" i="5" s="1"/>
  <c r="P136" i="5" s="1"/>
  <c r="I117" i="5"/>
  <c r="H117" i="5" s="1"/>
  <c r="P117" i="5" s="1"/>
  <c r="I36" i="6"/>
  <c r="H36" i="6" s="1"/>
  <c r="P36" i="6" s="1"/>
  <c r="I29" i="6"/>
  <c r="H29" i="6" s="1"/>
  <c r="P29" i="6" s="1"/>
  <c r="I224" i="4"/>
  <c r="H224" i="4" s="1"/>
  <c r="P224" i="4" s="1"/>
  <c r="P26" i="3"/>
  <c r="Q26" i="3"/>
  <c r="I26" i="3"/>
  <c r="H26" i="3" s="1"/>
  <c r="I109" i="5"/>
  <c r="H109" i="5" s="1"/>
  <c r="P109" i="5" s="1"/>
  <c r="P9" i="3"/>
  <c r="Q9" i="3"/>
  <c r="I9" i="3"/>
  <c r="H9" i="3" s="1"/>
  <c r="I23" i="4"/>
  <c r="H23" i="4" s="1"/>
  <c r="P23" i="4" s="1"/>
  <c r="I100" i="5"/>
  <c r="H100" i="5" s="1"/>
  <c r="Q100" i="5"/>
  <c r="P100" i="5"/>
  <c r="I48" i="6"/>
  <c r="H48" i="6" s="1"/>
  <c r="Q48" i="6" s="1"/>
  <c r="I41" i="5"/>
  <c r="H41" i="5" s="1"/>
  <c r="Q41" i="5"/>
  <c r="P41" i="5"/>
  <c r="I221" i="4"/>
  <c r="H221" i="4" s="1"/>
  <c r="P221" i="4" s="1"/>
  <c r="I25" i="5"/>
  <c r="H25" i="5" s="1"/>
  <c r="P25" i="5" s="1"/>
  <c r="I14" i="5"/>
  <c r="H14" i="5" s="1"/>
  <c r="P14" i="5" s="1"/>
  <c r="I35" i="4"/>
  <c r="H35" i="4" s="1"/>
  <c r="Q35" i="4" s="1"/>
  <c r="I10" i="2"/>
  <c r="H10" i="2" s="1"/>
  <c r="P10" i="2" s="1"/>
  <c r="Q93" i="5"/>
  <c r="I93" i="5"/>
  <c r="H93" i="5" s="1"/>
  <c r="P11" i="2"/>
  <c r="I11" i="2"/>
  <c r="H11" i="2" s="1"/>
  <c r="Q11" i="2"/>
  <c r="I78" i="4"/>
  <c r="H78" i="4" s="1"/>
  <c r="P78" i="4" s="1"/>
  <c r="I54" i="5"/>
  <c r="H54" i="5" s="1"/>
  <c r="P54" i="5" s="1"/>
  <c r="P73" i="1"/>
  <c r="Q73" i="1"/>
  <c r="I73" i="1"/>
  <c r="H73" i="1" s="1"/>
  <c r="I201" i="4"/>
  <c r="H201" i="4" s="1"/>
  <c r="P201" i="4" s="1"/>
  <c r="I29" i="4"/>
  <c r="H29" i="4" s="1"/>
  <c r="I30" i="4" s="1"/>
  <c r="I15" i="4"/>
  <c r="H15" i="4" s="1"/>
  <c r="I16" i="4" s="1"/>
  <c r="H16" i="4" s="1"/>
  <c r="P55" i="1"/>
  <c r="Q55" i="1"/>
  <c r="I55" i="1"/>
  <c r="H55" i="1" s="1"/>
  <c r="I41" i="1"/>
  <c r="H41" i="1" s="1"/>
  <c r="Q41" i="1" s="1"/>
  <c r="I158" i="5"/>
  <c r="H158" i="5" s="1"/>
  <c r="Q158" i="5" s="1"/>
  <c r="I185" i="4"/>
  <c r="H185" i="4" s="1"/>
  <c r="P185" i="4" s="1"/>
  <c r="I191" i="5"/>
  <c r="H191" i="5" s="1"/>
  <c r="P191" i="5" s="1"/>
  <c r="Q120" i="5"/>
  <c r="I120" i="5"/>
  <c r="H120" i="5" s="1"/>
  <c r="P120" i="5"/>
  <c r="I30" i="1"/>
  <c r="H30" i="1" s="1"/>
  <c r="P30" i="1" s="1"/>
  <c r="I74" i="4"/>
  <c r="H74" i="4" s="1"/>
  <c r="P74" i="4" s="1"/>
  <c r="I73" i="5"/>
  <c r="H73" i="5" s="1"/>
  <c r="P73" i="5" s="1"/>
  <c r="I211" i="5"/>
  <c r="H211" i="5" s="1"/>
  <c r="P211" i="5" s="1"/>
  <c r="I33" i="1"/>
  <c r="H33" i="1" s="1"/>
  <c r="P33" i="1" s="1"/>
  <c r="I3" i="2"/>
  <c r="H3" i="2" s="1"/>
  <c r="Q3" i="2" s="1"/>
  <c r="I232" i="6"/>
  <c r="H232" i="6" s="1"/>
  <c r="Q232" i="6" s="1"/>
  <c r="I198" i="5"/>
  <c r="H198" i="5" s="1"/>
  <c r="I199" i="5" s="1"/>
  <c r="H199" i="5" s="1"/>
  <c r="P199" i="5" s="1"/>
  <c r="I23" i="5"/>
  <c r="H23" i="5" s="1"/>
  <c r="P23" i="5" s="1"/>
  <c r="I225" i="4"/>
  <c r="H225" i="4" s="1"/>
  <c r="Q225" i="4" s="1"/>
  <c r="I27" i="1"/>
  <c r="H27" i="1" s="1"/>
  <c r="Q27" i="1" s="1"/>
  <c r="I77" i="4"/>
  <c r="H77" i="4" s="1"/>
  <c r="P77" i="4" s="1"/>
  <c r="I40" i="1"/>
  <c r="H40" i="1" s="1"/>
  <c r="Q40" i="1" s="1"/>
  <c r="P18" i="5"/>
  <c r="Q18" i="5"/>
  <c r="I18" i="5"/>
  <c r="H18" i="5" s="1"/>
  <c r="I77" i="5"/>
  <c r="H77" i="5" s="1"/>
  <c r="Q77" i="5" s="1"/>
  <c r="Q71" i="1"/>
  <c r="I71" i="1"/>
  <c r="H71" i="1" s="1"/>
  <c r="P71" i="1"/>
  <c r="Q96" i="5"/>
  <c r="I96" i="5"/>
  <c r="H96" i="5" s="1"/>
  <c r="Q2" i="4"/>
  <c r="I2" i="4"/>
  <c r="H2" i="4" s="1"/>
  <c r="P2" i="4"/>
  <c r="I23" i="3"/>
  <c r="H23" i="3" s="1"/>
  <c r="Q23" i="3"/>
  <c r="P23" i="3"/>
  <c r="I102" i="4"/>
  <c r="H102" i="4" s="1"/>
  <c r="P102" i="4" s="1"/>
  <c r="I67" i="5"/>
  <c r="H67" i="5" s="1"/>
  <c r="P67" i="5" s="1"/>
  <c r="I227" i="4"/>
  <c r="H227" i="4" s="1"/>
  <c r="P227" i="4" s="1"/>
  <c r="I94" i="4"/>
  <c r="H94" i="4" s="1"/>
  <c r="I95" i="4" s="1"/>
  <c r="H95" i="4" s="1"/>
  <c r="P95" i="4" s="1"/>
  <c r="I33" i="4"/>
  <c r="H33" i="4" s="1"/>
  <c r="P33" i="4" s="1"/>
  <c r="Q75" i="1"/>
  <c r="P75" i="1"/>
  <c r="I75" i="1"/>
  <c r="H75" i="1" s="1"/>
  <c r="I60" i="5"/>
  <c r="H60" i="5" s="1"/>
  <c r="P60" i="5" s="1"/>
  <c r="I192" i="4"/>
  <c r="H192" i="4" s="1"/>
  <c r="P192" i="4" s="1"/>
  <c r="I212" i="4"/>
  <c r="H212" i="4" s="1"/>
  <c r="P212" i="4" s="1"/>
  <c r="I214" i="4"/>
  <c r="H214" i="4" s="1"/>
  <c r="P214" i="4" s="1"/>
  <c r="I4" i="4"/>
  <c r="H4" i="4" s="1"/>
  <c r="P4" i="4" s="1"/>
  <c r="Q246" i="6"/>
  <c r="I246" i="6"/>
  <c r="H246" i="6" s="1"/>
  <c r="P246" i="6"/>
  <c r="I163" i="4"/>
  <c r="H163" i="4" s="1"/>
  <c r="P163" i="4" s="1"/>
  <c r="P12" i="3"/>
  <c r="Q12" i="3"/>
  <c r="I12" i="3"/>
  <c r="H12" i="3" s="1"/>
  <c r="I120" i="6"/>
  <c r="H120" i="6" s="1"/>
  <c r="I121" i="6" s="1"/>
  <c r="H121" i="6" s="1"/>
  <c r="Q121" i="6" s="1"/>
  <c r="I166" i="5"/>
  <c r="H166" i="5" s="1"/>
  <c r="P166" i="5" s="1"/>
  <c r="Q94" i="5"/>
  <c r="I94" i="5"/>
  <c r="H94" i="5" s="1"/>
  <c r="Q43" i="5"/>
  <c r="I43" i="5"/>
  <c r="H43" i="5" s="1"/>
  <c r="P43" i="5"/>
  <c r="I213" i="5"/>
  <c r="H213" i="5" s="1"/>
  <c r="I214" i="5" s="1"/>
  <c r="H214" i="5" s="1"/>
  <c r="P214" i="5" s="1"/>
  <c r="I15" i="5"/>
  <c r="H15" i="5" s="1"/>
  <c r="P15" i="5" s="1"/>
  <c r="I123" i="6"/>
  <c r="H123" i="6" s="1"/>
  <c r="Q123" i="6" s="1"/>
  <c r="I70" i="5"/>
  <c r="H70" i="5" s="1"/>
  <c r="P70" i="5" s="1"/>
  <c r="I71" i="5"/>
  <c r="H71" i="5" s="1"/>
  <c r="P71" i="5" s="1"/>
  <c r="I194" i="5"/>
  <c r="H194" i="5" s="1"/>
  <c r="P194" i="5" s="1"/>
  <c r="I3" i="6"/>
  <c r="H3" i="6" s="1"/>
  <c r="Q3" i="6" s="1"/>
  <c r="I181" i="6"/>
  <c r="H181" i="6" s="1"/>
  <c r="Q181" i="6"/>
  <c r="P181" i="6"/>
  <c r="P14" i="3"/>
  <c r="Q14" i="3"/>
  <c r="I14" i="3"/>
  <c r="H14" i="3" s="1"/>
  <c r="I14" i="6"/>
  <c r="H14" i="6" s="1"/>
  <c r="Q14" i="6" s="1"/>
  <c r="I154" i="5"/>
  <c r="H154" i="5" s="1"/>
  <c r="Q154" i="5" s="1"/>
  <c r="I216" i="5"/>
  <c r="H216" i="5" s="1"/>
  <c r="I217" i="5" s="1"/>
  <c r="H217" i="5" s="1"/>
  <c r="P217" i="5" s="1"/>
  <c r="I389" i="6"/>
  <c r="H389" i="6" s="1"/>
  <c r="Q389" i="6" s="1"/>
  <c r="I189" i="5"/>
  <c r="H189" i="5" s="1"/>
  <c r="P189" i="5" s="1"/>
  <c r="I37" i="6"/>
  <c r="H37" i="6" s="1"/>
  <c r="Q37" i="6" s="1"/>
  <c r="I29" i="5"/>
  <c r="H29" i="5" s="1"/>
  <c r="P29" i="5"/>
  <c r="Q29" i="5"/>
  <c r="I35" i="6"/>
  <c r="H35" i="6" s="1"/>
  <c r="Q35" i="6" s="1"/>
  <c r="I218" i="5"/>
  <c r="H218" i="5" s="1"/>
  <c r="P218" i="5" s="1"/>
  <c r="I42" i="1"/>
  <c r="H42" i="1" s="1"/>
  <c r="P42" i="1" s="1"/>
  <c r="I230" i="4"/>
  <c r="H230" i="4" s="1"/>
  <c r="I218" i="4"/>
  <c r="H218" i="4" s="1"/>
  <c r="P218" i="4" s="1"/>
  <c r="I153" i="4"/>
  <c r="H153" i="4" s="1"/>
  <c r="Q153" i="4" s="1"/>
  <c r="I28" i="2"/>
  <c r="H28" i="2" s="1"/>
  <c r="P28" i="2" s="1"/>
  <c r="I197" i="5"/>
  <c r="H197" i="5" s="1"/>
  <c r="Q104" i="4"/>
  <c r="P104" i="4"/>
  <c r="I104" i="4"/>
  <c r="H104" i="4" s="1"/>
  <c r="P16" i="2"/>
  <c r="I16" i="2"/>
  <c r="H16" i="2" s="1"/>
  <c r="Q16" i="2"/>
  <c r="I173" i="5"/>
  <c r="H173" i="5" s="1"/>
  <c r="I174" i="5" s="1"/>
  <c r="H174" i="5" s="1"/>
  <c r="P174" i="5" s="1"/>
  <c r="I160" i="4"/>
  <c r="H160" i="4" s="1"/>
  <c r="Q160" i="4" s="1"/>
  <c r="I8" i="6"/>
  <c r="H8" i="6" s="1"/>
  <c r="P8" i="6"/>
  <c r="Q8" i="6"/>
  <c r="I30" i="6"/>
  <c r="H30" i="6" s="1"/>
  <c r="P30" i="6" s="1"/>
  <c r="I131" i="4"/>
  <c r="H131" i="4" s="1"/>
  <c r="I132" i="4" s="1"/>
  <c r="H132" i="4" s="1"/>
  <c r="P132" i="4" s="1"/>
  <c r="I206" i="6"/>
  <c r="H206" i="6" s="1"/>
  <c r="I207" i="6" s="1"/>
  <c r="H207" i="6" s="1"/>
  <c r="Q207" i="6" s="1"/>
  <c r="I129" i="4"/>
  <c r="H129" i="4" s="1"/>
  <c r="P129" i="4" s="1"/>
  <c r="I114" i="4"/>
  <c r="H114" i="4" s="1"/>
  <c r="P114" i="4" s="1"/>
  <c r="I217" i="4"/>
  <c r="H217" i="4" s="1"/>
  <c r="P217" i="4" s="1"/>
  <c r="P53" i="1"/>
  <c r="I53" i="1"/>
  <c r="H53" i="1" s="1"/>
  <c r="Q53" i="1"/>
  <c r="I112" i="6"/>
  <c r="H112" i="6" s="1"/>
  <c r="P112" i="6" s="1"/>
  <c r="P2" i="2"/>
  <c r="I2" i="2"/>
  <c r="H2" i="2" s="1"/>
  <c r="Q2" i="2"/>
  <c r="I180" i="5"/>
  <c r="H180" i="5" s="1"/>
  <c r="I181" i="5" s="1"/>
  <c r="H181" i="5" s="1"/>
  <c r="P181" i="5" s="1"/>
  <c r="Q20" i="2"/>
  <c r="I20" i="2"/>
  <c r="H20" i="2" s="1"/>
  <c r="P20" i="2"/>
  <c r="I70" i="1"/>
  <c r="H70" i="1" s="1"/>
  <c r="Q70" i="1"/>
  <c r="P70" i="1"/>
  <c r="P15" i="3"/>
  <c r="I15" i="3"/>
  <c r="H15" i="3" s="1"/>
  <c r="Q15" i="3"/>
  <c r="I107" i="4"/>
  <c r="H107" i="4" s="1"/>
  <c r="Q107" i="4" s="1"/>
  <c r="I47" i="1"/>
  <c r="H47" i="1" s="1"/>
  <c r="Q47" i="1" s="1"/>
  <c r="P47" i="1"/>
  <c r="I45" i="6"/>
  <c r="H45" i="6" s="1"/>
  <c r="P45" i="6" s="1"/>
  <c r="I10" i="3"/>
  <c r="H10" i="3" s="1"/>
  <c r="P10" i="3"/>
  <c r="I7" i="2"/>
  <c r="H7" i="2" s="1"/>
  <c r="Q7" i="2" s="1"/>
  <c r="I142" i="5"/>
  <c r="H142" i="5" s="1"/>
  <c r="P142" i="5" s="1"/>
  <c r="P77" i="6"/>
  <c r="I77" i="6"/>
  <c r="H77" i="6" s="1"/>
  <c r="Q77" i="6"/>
  <c r="I21" i="5"/>
  <c r="H21" i="5" s="1"/>
  <c r="P21" i="5" s="1"/>
  <c r="I21" i="6"/>
  <c r="H21" i="6" s="1"/>
  <c r="Q21" i="6" s="1"/>
  <c r="I202" i="5"/>
  <c r="H202" i="5" s="1"/>
  <c r="P202" i="5" s="1"/>
  <c r="I33" i="6"/>
  <c r="H33" i="6" s="1"/>
  <c r="Q33" i="6" s="1"/>
  <c r="I28" i="1"/>
  <c r="H28" i="1" s="1"/>
  <c r="P28" i="1" s="1"/>
  <c r="I106" i="4"/>
  <c r="H106" i="4" s="1"/>
  <c r="I183" i="6"/>
  <c r="H183" i="6" s="1"/>
  <c r="P183" i="6" s="1"/>
  <c r="I56" i="1"/>
  <c r="H56" i="1" s="1"/>
  <c r="P56" i="1"/>
  <c r="Q56" i="1"/>
  <c r="I249" i="6"/>
  <c r="H249" i="6" s="1"/>
  <c r="P249" i="6" s="1"/>
  <c r="Q66" i="1"/>
  <c r="P66" i="1"/>
  <c r="I66" i="1"/>
  <c r="H66" i="1" s="1"/>
  <c r="I30" i="2"/>
  <c r="H30" i="2" s="1"/>
  <c r="P30" i="2" s="1"/>
  <c r="I106" i="5"/>
  <c r="H106" i="5" s="1"/>
  <c r="P106" i="5" s="1"/>
  <c r="P74" i="1"/>
  <c r="Q74" i="1"/>
  <c r="I74" i="1"/>
  <c r="H74" i="1" s="1"/>
  <c r="I239" i="6"/>
  <c r="H239" i="6" s="1"/>
  <c r="Q239" i="6" s="1"/>
  <c r="I204" i="5"/>
  <c r="H204" i="5" s="1"/>
  <c r="P204" i="5" s="1"/>
  <c r="I25" i="1"/>
  <c r="H25" i="1" s="1"/>
  <c r="Q25" i="1" s="1"/>
  <c r="Q50" i="5"/>
  <c r="P50" i="5"/>
  <c r="I50" i="5"/>
  <c r="H50" i="5" s="1"/>
  <c r="Q15" i="2"/>
  <c r="I15" i="2"/>
  <c r="H15" i="2" s="1"/>
  <c r="P15" i="2"/>
  <c r="I116" i="4"/>
  <c r="H116" i="4" s="1"/>
  <c r="I84" i="1"/>
  <c r="H84" i="1" s="1"/>
  <c r="Q84" i="1" s="1"/>
  <c r="I78" i="5"/>
  <c r="H78" i="5" s="1"/>
  <c r="P78" i="5" s="1"/>
  <c r="I213" i="4"/>
  <c r="H213" i="4" s="1"/>
  <c r="P213" i="4" s="1"/>
  <c r="I34" i="1"/>
  <c r="H34" i="1" s="1"/>
  <c r="P34" i="1" s="1"/>
  <c r="I13" i="2"/>
  <c r="H13" i="2" s="1"/>
  <c r="Q13" i="2"/>
  <c r="P13" i="2"/>
  <c r="I206" i="5"/>
  <c r="H206" i="5" s="1"/>
  <c r="P206" i="5" s="1"/>
  <c r="I23" i="6"/>
  <c r="H23" i="6" s="1"/>
  <c r="Q23" i="6" s="1"/>
  <c r="I125" i="5"/>
  <c r="H125" i="5" s="1"/>
  <c r="P125" i="5" s="1"/>
  <c r="Q51" i="5"/>
  <c r="I51" i="5"/>
  <c r="H51" i="5" s="1"/>
  <c r="P51" i="5"/>
  <c r="Q13" i="3"/>
  <c r="I13" i="3"/>
  <c r="H13" i="3" s="1"/>
  <c r="P13" i="3"/>
  <c r="I215" i="5"/>
  <c r="H215" i="5" s="1"/>
  <c r="P215" i="5" s="1"/>
  <c r="I31" i="1"/>
  <c r="H31" i="1" s="1"/>
  <c r="Q31" i="1" s="1"/>
  <c r="I244" i="6"/>
  <c r="H244" i="6" s="1"/>
  <c r="Q244" i="6" s="1"/>
  <c r="I65" i="5"/>
  <c r="H65" i="5" s="1"/>
  <c r="P65" i="5" s="1"/>
  <c r="I49" i="5"/>
  <c r="H49" i="5" s="1"/>
  <c r="P49" i="5"/>
  <c r="Q49" i="5"/>
  <c r="P103" i="5"/>
  <c r="I103" i="5"/>
  <c r="H103" i="5" s="1"/>
  <c r="Q103" i="5"/>
  <c r="I28" i="5"/>
  <c r="H28" i="5" s="1"/>
  <c r="P28" i="5" s="1"/>
  <c r="I66" i="5"/>
  <c r="H66" i="5" s="1"/>
  <c r="P66" i="5" s="1"/>
  <c r="I126" i="5"/>
  <c r="H126" i="5" s="1"/>
  <c r="P126" i="5" s="1"/>
  <c r="I88" i="4"/>
  <c r="H88" i="4" s="1"/>
  <c r="P88" i="4" s="1"/>
  <c r="I57" i="5"/>
  <c r="H57" i="5" s="1"/>
  <c r="P57" i="5" s="1"/>
  <c r="I33" i="5"/>
  <c r="H33" i="5" s="1"/>
  <c r="P33" i="5" s="1"/>
  <c r="I146" i="5"/>
  <c r="H146" i="5" s="1"/>
  <c r="P146" i="5" s="1"/>
  <c r="P8" i="2"/>
  <c r="Q8" i="2"/>
  <c r="I8" i="2"/>
  <c r="H8" i="2" s="1"/>
  <c r="P68" i="1"/>
  <c r="I68" i="1"/>
  <c r="H68" i="1" s="1"/>
  <c r="Q68" i="1"/>
  <c r="I9" i="6"/>
  <c r="H9" i="6" s="1"/>
  <c r="I10" i="6" s="1"/>
  <c r="H10" i="6" s="1"/>
  <c r="Q10" i="6" s="1"/>
  <c r="Q110" i="6"/>
  <c r="P110" i="6"/>
  <c r="I110" i="6"/>
  <c r="H110" i="6" s="1"/>
  <c r="Q46" i="6"/>
  <c r="I46" i="6"/>
  <c r="H46" i="6" s="1"/>
  <c r="P46" i="6"/>
  <c r="Q7" i="6"/>
  <c r="P7" i="6"/>
  <c r="I7" i="6"/>
  <c r="H7" i="6" s="1"/>
  <c r="I26" i="5"/>
  <c r="H26" i="5" s="1"/>
  <c r="P26" i="5" s="1"/>
  <c r="I6" i="2"/>
  <c r="H6" i="2" s="1"/>
  <c r="P6" i="2" s="1"/>
  <c r="I205" i="4"/>
  <c r="H205" i="4" s="1"/>
  <c r="P205" i="4" s="1"/>
  <c r="I32" i="2"/>
  <c r="H32" i="2" s="1"/>
  <c r="Q32" i="2" s="1"/>
  <c r="I113" i="5"/>
  <c r="H113" i="5" s="1"/>
  <c r="P113" i="5" s="1"/>
  <c r="I3" i="4"/>
  <c r="H3" i="4" s="1"/>
  <c r="P3" i="4"/>
  <c r="Q3" i="4"/>
  <c r="I197" i="4"/>
  <c r="H197" i="4" s="1"/>
  <c r="P197" i="4" s="1"/>
  <c r="I109" i="4"/>
  <c r="H109" i="4" s="1"/>
  <c r="P109" i="4" s="1"/>
  <c r="I127" i="4"/>
  <c r="H127" i="4" s="1"/>
  <c r="P127" i="4" s="1"/>
  <c r="I50" i="4"/>
  <c r="H50" i="4" s="1"/>
  <c r="P22" i="3"/>
  <c r="Q22" i="3"/>
  <c r="I22" i="3"/>
  <c r="H22" i="3" s="1"/>
  <c r="I37" i="1"/>
  <c r="H37" i="1" s="1"/>
  <c r="Q37" i="1" s="1"/>
  <c r="I27" i="6"/>
  <c r="I186" i="6"/>
  <c r="H186" i="6" s="1"/>
  <c r="Q186" i="6" s="1"/>
  <c r="I14" i="4"/>
  <c r="H14" i="4" s="1"/>
  <c r="Q14" i="4"/>
  <c r="P14" i="4"/>
  <c r="I208" i="4"/>
  <c r="H208" i="4" s="1"/>
  <c r="I101" i="4"/>
  <c r="H101" i="4" s="1"/>
  <c r="P101" i="4" s="1"/>
  <c r="Q184" i="4"/>
  <c r="P184" i="4"/>
  <c r="I184" i="4"/>
  <c r="H184" i="4" s="1"/>
  <c r="I184" i="6"/>
  <c r="H184" i="6" s="1"/>
  <c r="Q184" i="6" s="1"/>
  <c r="Q2" i="6"/>
  <c r="P2" i="6"/>
  <c r="I2" i="6"/>
  <c r="H2" i="6" s="1"/>
  <c r="I12" i="2"/>
  <c r="H12" i="2" s="1"/>
  <c r="Q12" i="2"/>
  <c r="P12" i="2"/>
  <c r="P7" i="4"/>
  <c r="Q7" i="4"/>
  <c r="I7" i="4"/>
  <c r="H7" i="4" s="1"/>
  <c r="I221" i="5"/>
  <c r="H221" i="5" s="1"/>
  <c r="P221" i="5" s="1"/>
  <c r="I64" i="5"/>
  <c r="H64" i="5" s="1"/>
  <c r="P64" i="5" s="1"/>
  <c r="P194" i="6"/>
  <c r="I194" i="6"/>
  <c r="H194" i="6" s="1"/>
  <c r="Q194" i="6"/>
  <c r="I17" i="3"/>
  <c r="H17" i="3" s="1"/>
  <c r="P17" i="3" s="1"/>
  <c r="I192" i="6"/>
  <c r="H192" i="6" s="1"/>
  <c r="Q192" i="6" s="1"/>
  <c r="I36" i="5"/>
  <c r="H36" i="5" s="1"/>
  <c r="P36" i="5" s="1"/>
  <c r="P24" i="2"/>
  <c r="Q24" i="2"/>
  <c r="I24" i="2"/>
  <c r="H24" i="2" s="1"/>
  <c r="I28" i="6"/>
  <c r="H28" i="6" s="1"/>
  <c r="P28" i="6" s="1"/>
  <c r="I101" i="5"/>
  <c r="H101" i="5" s="1"/>
  <c r="P101" i="5" s="1"/>
  <c r="I26" i="1"/>
  <c r="H26" i="1" s="1"/>
  <c r="Q26" i="1" s="1"/>
  <c r="I209" i="5"/>
  <c r="H209" i="5" s="1"/>
  <c r="P209" i="5" s="1"/>
  <c r="P67" i="1"/>
  <c r="I67" i="1"/>
  <c r="H67" i="1" s="1"/>
  <c r="Q67" i="1"/>
  <c r="I200" i="4"/>
  <c r="H200" i="4" s="1"/>
  <c r="I72" i="1"/>
  <c r="H72" i="1" s="1"/>
  <c r="P72" i="1"/>
  <c r="Q72" i="1"/>
  <c r="I4" i="6"/>
  <c r="H4" i="6" s="1"/>
  <c r="P4" i="6" s="1"/>
  <c r="I110" i="5"/>
  <c r="H110" i="5" s="1"/>
  <c r="P110" i="5" s="1"/>
  <c r="I196" i="4"/>
  <c r="H196" i="4" s="1"/>
  <c r="Q196" i="4"/>
  <c r="P196" i="4"/>
  <c r="I191" i="4"/>
  <c r="H191" i="4" s="1"/>
  <c r="P191" i="4"/>
  <c r="Q191" i="4"/>
  <c r="I169" i="4"/>
  <c r="H169" i="4" s="1"/>
  <c r="Q169" i="4" s="1"/>
  <c r="Q35" i="5"/>
  <c r="I35" i="5"/>
  <c r="H35" i="5" s="1"/>
  <c r="P35" i="5"/>
  <c r="I108" i="4"/>
  <c r="H108" i="4" s="1"/>
  <c r="P108" i="4" s="1"/>
  <c r="I100" i="4"/>
  <c r="H100" i="4" s="1"/>
  <c r="Q100" i="4"/>
  <c r="P100" i="4"/>
  <c r="I75" i="5"/>
  <c r="H75" i="5" s="1"/>
  <c r="P75" i="5" s="1"/>
  <c r="I58" i="1"/>
  <c r="H58" i="1" s="1"/>
  <c r="P58" i="1"/>
  <c r="Q58" i="1"/>
  <c r="Q388" i="6"/>
  <c r="I388" i="6"/>
  <c r="H388" i="6" s="1"/>
  <c r="P388" i="6"/>
  <c r="I138" i="5"/>
  <c r="H138" i="5" s="1"/>
  <c r="Q138" i="5" s="1"/>
  <c r="I175" i="5"/>
  <c r="H175" i="5" s="1"/>
  <c r="P175" i="5" s="1"/>
  <c r="Q97" i="5"/>
  <c r="P97" i="5"/>
  <c r="I97" i="5"/>
  <c r="H97" i="5" s="1"/>
  <c r="I38" i="1"/>
  <c r="H38" i="1" s="1"/>
  <c r="P38" i="1" s="1"/>
  <c r="I190" i="6"/>
  <c r="H190" i="6" s="1"/>
  <c r="I13" i="5"/>
  <c r="H13" i="5" s="1"/>
  <c r="Q13" i="5"/>
  <c r="P13" i="5"/>
  <c r="I128" i="4"/>
  <c r="H128" i="4" s="1"/>
  <c r="Q128" i="4" s="1"/>
  <c r="I193" i="4"/>
  <c r="H193" i="4" s="1"/>
  <c r="P193" i="4" s="1"/>
  <c r="Q68" i="5"/>
  <c r="I68" i="5"/>
  <c r="H68" i="5" s="1"/>
  <c r="P68" i="5"/>
  <c r="P119" i="6"/>
  <c r="Q119" i="6"/>
  <c r="I119" i="6"/>
  <c r="H119" i="6" s="1"/>
  <c r="Q190" i="4"/>
  <c r="I190" i="4"/>
  <c r="H190" i="4" s="1"/>
  <c r="P190" i="4"/>
  <c r="P81" i="1"/>
  <c r="Q81" i="1"/>
  <c r="I81" i="1"/>
  <c r="H81" i="1" s="1"/>
  <c r="I151" i="4"/>
  <c r="H151" i="4" s="1"/>
  <c r="P151" i="4" s="1"/>
  <c r="I53" i="5"/>
  <c r="H53" i="5" s="1"/>
  <c r="I178" i="4"/>
  <c r="H178" i="4" s="1"/>
  <c r="P178" i="4" s="1"/>
  <c r="P79" i="1"/>
  <c r="I79" i="1"/>
  <c r="H79" i="1" s="1"/>
  <c r="Q79" i="1"/>
  <c r="I111" i="6"/>
  <c r="H111" i="6" s="1"/>
  <c r="P111" i="6" s="1"/>
  <c r="I114" i="5"/>
  <c r="H114" i="5" s="1"/>
  <c r="Q114" i="5" s="1"/>
  <c r="I82" i="1"/>
  <c r="H82" i="1" s="1"/>
  <c r="Q82" i="1" s="1"/>
  <c r="I189" i="4"/>
  <c r="H189" i="4" s="1"/>
  <c r="P189" i="4" s="1"/>
  <c r="I26" i="4"/>
  <c r="H26" i="4" s="1"/>
  <c r="Q26" i="4" s="1"/>
  <c r="I210" i="4"/>
  <c r="H210" i="4" s="1"/>
  <c r="P210" i="4" s="1"/>
  <c r="Q71" i="4"/>
  <c r="I71" i="4"/>
  <c r="H71" i="4" s="1"/>
  <c r="P71" i="4"/>
  <c r="I146" i="4"/>
  <c r="H146" i="4" s="1"/>
  <c r="I212" i="5"/>
  <c r="H212" i="5" s="1"/>
  <c r="Q212" i="5" s="1"/>
  <c r="I115" i="5"/>
  <c r="H115" i="5" s="1"/>
  <c r="P115" i="5" s="1"/>
  <c r="P76" i="1"/>
  <c r="Q76" i="1"/>
  <c r="I76" i="1"/>
  <c r="H76" i="1" s="1"/>
  <c r="I5" i="6"/>
  <c r="H5" i="6" s="1"/>
  <c r="Q5" i="6" s="1"/>
  <c r="P11" i="3"/>
  <c r="I11" i="3"/>
  <c r="H11" i="3" s="1"/>
  <c r="Q11" i="3"/>
  <c r="I36" i="1"/>
  <c r="H36" i="1" s="1"/>
  <c r="Q36" i="1" s="1"/>
  <c r="I203" i="4"/>
  <c r="H203" i="4" s="1"/>
  <c r="P203" i="4" s="1"/>
  <c r="I31" i="2"/>
  <c r="H31" i="2" s="1"/>
  <c r="Q31" i="2" s="1"/>
  <c r="I38" i="6"/>
  <c r="H38" i="6" s="1"/>
  <c r="P38" i="6" s="1"/>
  <c r="I170" i="5"/>
  <c r="H170" i="5" s="1"/>
  <c r="P170" i="5" s="1"/>
  <c r="I120" i="4"/>
  <c r="H120" i="4" s="1"/>
  <c r="Q120" i="4" s="1"/>
  <c r="I195" i="4"/>
  <c r="H195" i="4" s="1"/>
  <c r="P195" i="4" s="1"/>
  <c r="P126" i="4"/>
  <c r="Q126" i="4"/>
  <c r="I126" i="4"/>
  <c r="H126" i="4" s="1"/>
  <c r="I202" i="4"/>
  <c r="H202" i="4" s="1"/>
  <c r="P202" i="4" s="1"/>
  <c r="I157" i="4"/>
  <c r="H157" i="4" s="1"/>
  <c r="I158" i="4" s="1"/>
  <c r="H158" i="4" s="1"/>
  <c r="P158" i="4" s="1"/>
  <c r="I117" i="4"/>
  <c r="H117" i="4" s="1"/>
  <c r="P117" i="4" s="1"/>
  <c r="I17" i="6"/>
  <c r="H17" i="6" s="1"/>
  <c r="Q17" i="6" s="1"/>
  <c r="P8" i="3"/>
  <c r="Q8" i="3"/>
  <c r="I8" i="3"/>
  <c r="H8" i="3" s="1"/>
  <c r="P25" i="3"/>
  <c r="Q25" i="3"/>
  <c r="I25" i="3"/>
  <c r="H25" i="3" s="1"/>
  <c r="Q61" i="1"/>
  <c r="I61" i="1"/>
  <c r="H61" i="1" s="1"/>
  <c r="P61" i="1"/>
  <c r="I247" i="6"/>
  <c r="H247" i="6" s="1"/>
  <c r="P247" i="6" s="1"/>
  <c r="I19" i="5"/>
  <c r="H19" i="5" s="1"/>
  <c r="Q19" i="5" s="1"/>
  <c r="Q78" i="1"/>
  <c r="P78" i="1"/>
  <c r="I78" i="1"/>
  <c r="H78" i="1" s="1"/>
  <c r="I140" i="4"/>
  <c r="H140" i="4" s="1"/>
  <c r="Q140" i="4" s="1"/>
  <c r="Q60" i="1"/>
  <c r="P60" i="1"/>
  <c r="I60" i="1"/>
  <c r="H60" i="1" s="1"/>
  <c r="I166" i="4"/>
  <c r="H166" i="4" s="1"/>
  <c r="I167" i="4" s="1"/>
  <c r="H167" i="4" s="1"/>
  <c r="P167" i="4" s="1"/>
  <c r="Q38" i="5"/>
  <c r="I38" i="5"/>
  <c r="H38" i="5" s="1"/>
  <c r="P38" i="5"/>
  <c r="I24" i="1"/>
  <c r="H24" i="1" s="1"/>
  <c r="P24" i="1" s="1"/>
  <c r="I49" i="6"/>
  <c r="H49" i="6" s="1"/>
  <c r="Q49" i="6" s="1"/>
  <c r="P22" i="2"/>
  <c r="Q22" i="2"/>
  <c r="I22" i="2"/>
  <c r="H22" i="2" s="1"/>
  <c r="I197" i="6"/>
  <c r="H197" i="6" s="1"/>
  <c r="Q197" i="6" s="1"/>
  <c r="I65" i="1"/>
  <c r="H65" i="1" s="1"/>
  <c r="P65" i="1"/>
  <c r="Q65" i="1"/>
  <c r="Q46" i="5"/>
  <c r="I46" i="5"/>
  <c r="H46" i="5" s="1"/>
  <c r="P46" i="5"/>
  <c r="I32" i="5"/>
  <c r="H32" i="5" s="1"/>
  <c r="P32" i="5"/>
  <c r="Q32" i="5"/>
  <c r="Q5" i="3"/>
  <c r="I5" i="3"/>
  <c r="H5" i="3" s="1"/>
  <c r="P5" i="3"/>
  <c r="I175" i="4"/>
  <c r="H175" i="4" s="1"/>
  <c r="P175" i="4" s="1"/>
  <c r="I182" i="6"/>
  <c r="H182" i="6" s="1"/>
  <c r="I196" i="5"/>
  <c r="H196" i="5" s="1"/>
  <c r="P196" i="5" s="1"/>
  <c r="I47" i="6"/>
  <c r="H47" i="6" s="1"/>
  <c r="Q47" i="6"/>
  <c r="P47" i="6"/>
  <c r="P83" i="1"/>
  <c r="I83" i="1"/>
  <c r="H83" i="1" s="1"/>
  <c r="Q83" i="1"/>
  <c r="I118" i="5"/>
  <c r="H118" i="5" s="1"/>
  <c r="I230" i="6"/>
  <c r="H230" i="6" s="1"/>
  <c r="Q230" i="6" s="1"/>
  <c r="I134" i="4"/>
  <c r="H134" i="4" s="1"/>
  <c r="P16" i="5"/>
  <c r="I16" i="5"/>
  <c r="H16" i="5" s="1"/>
  <c r="Q16" i="5"/>
  <c r="I116" i="5"/>
  <c r="H116" i="5" s="1"/>
  <c r="P116" i="5" s="1"/>
  <c r="I211" i="4"/>
  <c r="H211" i="4" s="1"/>
  <c r="P211" i="4" s="1"/>
  <c r="I186" i="5"/>
  <c r="H186" i="5" s="1"/>
  <c r="P186" i="5" s="1"/>
  <c r="I108" i="5"/>
  <c r="H108" i="5" s="1"/>
  <c r="P108" i="5"/>
  <c r="Q108" i="5"/>
  <c r="I152" i="4"/>
  <c r="H152" i="4" s="1"/>
  <c r="Q152" i="4" s="1"/>
  <c r="I19" i="6"/>
  <c r="H19" i="6" s="1"/>
  <c r="I203" i="6"/>
  <c r="H203" i="6" s="1"/>
  <c r="Q203" i="6" s="1"/>
  <c r="I220" i="4"/>
  <c r="H220" i="4" s="1"/>
  <c r="I31" i="6"/>
  <c r="H31" i="6" s="1"/>
  <c r="Q31" i="6" s="1"/>
  <c r="I122" i="5"/>
  <c r="H122" i="5" s="1"/>
  <c r="I16" i="3"/>
  <c r="H16" i="3" s="1"/>
  <c r="P16" i="3"/>
  <c r="Q16" i="3"/>
  <c r="I143" i="4"/>
  <c r="H143" i="4" s="1"/>
  <c r="P143" i="4" s="1"/>
  <c r="I26" i="2" l="1"/>
  <c r="H26" i="2" s="1"/>
  <c r="P26" i="2" s="1"/>
  <c r="H30" i="4"/>
  <c r="I31" i="4"/>
  <c r="Q32" i="1"/>
  <c r="Q28" i="1"/>
  <c r="Q42" i="1"/>
  <c r="Q38" i="1"/>
  <c r="Q39" i="1"/>
  <c r="Q33" i="1"/>
  <c r="Q35" i="1"/>
  <c r="Q30" i="1"/>
  <c r="Q29" i="1"/>
  <c r="Q34" i="1"/>
  <c r="Q24" i="1"/>
  <c r="I189" i="6"/>
  <c r="H189" i="6" s="1"/>
  <c r="P189" i="6" s="1"/>
  <c r="I200" i="6"/>
  <c r="H200" i="6" s="1"/>
  <c r="Q200" i="6" s="1"/>
  <c r="I19" i="3"/>
  <c r="I20" i="3" s="1"/>
  <c r="H20" i="3" s="1"/>
  <c r="Q20" i="3" s="1"/>
  <c r="I22" i="4"/>
  <c r="H22" i="4" s="1"/>
  <c r="Q22" i="4" s="1"/>
  <c r="Q188" i="5"/>
  <c r="P37" i="1"/>
  <c r="P27" i="1"/>
  <c r="P26" i="1"/>
  <c r="P31" i="1"/>
  <c r="P36" i="1"/>
  <c r="P41" i="1"/>
  <c r="P40" i="1"/>
  <c r="P25" i="1"/>
  <c r="I52" i="6"/>
  <c r="H52" i="6" s="1"/>
  <c r="Q52" i="6" s="1"/>
  <c r="I87" i="4"/>
  <c r="H87" i="4" s="1"/>
  <c r="P87" i="4" s="1"/>
  <c r="I42" i="6"/>
  <c r="H42" i="6" s="1"/>
  <c r="Q42" i="6" s="1"/>
  <c r="Q155" i="4"/>
  <c r="I156" i="4"/>
  <c r="H156" i="4" s="1"/>
  <c r="Q156" i="4" s="1"/>
  <c r="I89" i="4"/>
  <c r="H89" i="4" s="1"/>
  <c r="I90" i="4" s="1"/>
  <c r="I91" i="4" s="1"/>
  <c r="I245" i="6"/>
  <c r="H245" i="6" s="1"/>
  <c r="P245" i="6" s="1"/>
  <c r="Q199" i="5"/>
  <c r="I173" i="4"/>
  <c r="H173" i="4" s="1"/>
  <c r="I174" i="4" s="1"/>
  <c r="H174" i="4" s="1"/>
  <c r="Q174" i="4" s="1"/>
  <c r="I215" i="6"/>
  <c r="H215" i="6" s="1"/>
  <c r="Q215" i="6" s="1"/>
  <c r="I183" i="4"/>
  <c r="H183" i="4" s="1"/>
  <c r="I223" i="6"/>
  <c r="I224" i="6" s="1"/>
  <c r="I225" i="6" s="1"/>
  <c r="H225" i="6" s="1"/>
  <c r="P225" i="6" s="1"/>
  <c r="Q182" i="4"/>
  <c r="Q26" i="2"/>
  <c r="I9" i="4"/>
  <c r="H9" i="4" s="1"/>
  <c r="Q9" i="4" s="1"/>
  <c r="I192" i="5"/>
  <c r="H192" i="5" s="1"/>
  <c r="Q72" i="5"/>
  <c r="P187" i="5"/>
  <c r="Q199" i="6"/>
  <c r="Q127" i="4"/>
  <c r="Q174" i="5"/>
  <c r="P230" i="6"/>
  <c r="P32" i="2"/>
  <c r="Q114" i="4"/>
  <c r="Q78" i="4"/>
  <c r="Q10" i="2"/>
  <c r="Q117" i="5"/>
  <c r="P181" i="4"/>
  <c r="Q142" i="5"/>
  <c r="I167" i="5"/>
  <c r="I168" i="5" s="1"/>
  <c r="I169" i="5" s="1"/>
  <c r="H169" i="5" s="1"/>
  <c r="I13" i="6"/>
  <c r="H13" i="6" s="1"/>
  <c r="Q173" i="5"/>
  <c r="P188" i="6"/>
  <c r="Q154" i="4"/>
  <c r="Q113" i="5"/>
  <c r="Q26" i="5"/>
  <c r="P232" i="6"/>
  <c r="Q187" i="5"/>
  <c r="Q66" i="5"/>
  <c r="Q249" i="6"/>
  <c r="Q192" i="4"/>
  <c r="Q61" i="5"/>
  <c r="Q223" i="4"/>
  <c r="Q30" i="5"/>
  <c r="Q130" i="4"/>
  <c r="P234" i="6"/>
  <c r="I5" i="4"/>
  <c r="P157" i="4"/>
  <c r="I235" i="6"/>
  <c r="H235" i="6" s="1"/>
  <c r="Q235" i="6" s="1"/>
  <c r="Q175" i="5"/>
  <c r="Q120" i="6"/>
  <c r="Q17" i="5"/>
  <c r="P212" i="5"/>
  <c r="Q158" i="4"/>
  <c r="Q197" i="4"/>
  <c r="P33" i="6"/>
  <c r="I152" i="5"/>
  <c r="H152" i="5" s="1"/>
  <c r="Q152" i="5" s="1"/>
  <c r="I125" i="4"/>
  <c r="H125" i="4" s="1"/>
  <c r="Q201" i="4"/>
  <c r="Q124" i="4"/>
  <c r="Q166" i="5"/>
  <c r="Q60" i="5"/>
  <c r="Q8" i="4"/>
  <c r="Q157" i="4"/>
  <c r="Q17" i="4"/>
  <c r="P41" i="6"/>
  <c r="Q43" i="4"/>
  <c r="P12" i="6"/>
  <c r="Q175" i="4"/>
  <c r="I193" i="6"/>
  <c r="H193" i="6" s="1"/>
  <c r="P84" i="1"/>
  <c r="P35" i="6"/>
  <c r="P225" i="4"/>
  <c r="Q250" i="6"/>
  <c r="Q55" i="5"/>
  <c r="Q79" i="6"/>
  <c r="Q207" i="5"/>
  <c r="Q233" i="6"/>
  <c r="Q143" i="4"/>
  <c r="Q117" i="4"/>
  <c r="Q193" i="4"/>
  <c r="Q110" i="5"/>
  <c r="Q28" i="5"/>
  <c r="Q183" i="6"/>
  <c r="Q202" i="5"/>
  <c r="Q213" i="5"/>
  <c r="P77" i="5"/>
  <c r="Q77" i="4"/>
  <c r="Q29" i="6"/>
  <c r="Q205" i="5"/>
  <c r="P233" i="6"/>
  <c r="P209" i="4"/>
  <c r="Q116" i="5"/>
  <c r="P49" i="6"/>
  <c r="I11" i="6"/>
  <c r="H11" i="6" s="1"/>
  <c r="Q11" i="6" s="1"/>
  <c r="P152" i="4"/>
  <c r="Q196" i="5"/>
  <c r="Q195" i="4"/>
  <c r="P114" i="5"/>
  <c r="Q101" i="4"/>
  <c r="I251" i="6"/>
  <c r="H251" i="6" s="1"/>
  <c r="Q206" i="5"/>
  <c r="Q213" i="4"/>
  <c r="Q71" i="5"/>
  <c r="Q177" i="5"/>
  <c r="Q207" i="4"/>
  <c r="Q34" i="6"/>
  <c r="P197" i="6"/>
  <c r="P192" i="6"/>
  <c r="P244" i="6"/>
  <c r="Q21" i="5"/>
  <c r="P7" i="2"/>
  <c r="P173" i="5"/>
  <c r="P389" i="6"/>
  <c r="Q14" i="5"/>
  <c r="P193" i="5"/>
  <c r="Q113" i="4"/>
  <c r="Q211" i="5"/>
  <c r="P53" i="6"/>
  <c r="P205" i="6"/>
  <c r="Q181" i="4"/>
  <c r="Q123" i="5"/>
  <c r="Q79" i="5"/>
  <c r="Q206" i="4"/>
  <c r="P216" i="4"/>
  <c r="P203" i="6"/>
  <c r="Q186" i="5"/>
  <c r="Q203" i="4"/>
  <c r="P5" i="6"/>
  <c r="Q189" i="4"/>
  <c r="Q4" i="6"/>
  <c r="P9" i="6"/>
  <c r="Q146" i="5"/>
  <c r="Q88" i="4"/>
  <c r="Q65" i="5"/>
  <c r="Q215" i="5"/>
  <c r="Q125" i="5"/>
  <c r="Q106" i="5"/>
  <c r="P107" i="4"/>
  <c r="Q112" i="6"/>
  <c r="Q218" i="4"/>
  <c r="P213" i="5"/>
  <c r="Q33" i="4"/>
  <c r="Q102" i="4"/>
  <c r="Q58" i="5"/>
  <c r="Q162" i="5"/>
  <c r="Q78" i="6"/>
  <c r="Q123" i="4"/>
  <c r="I54" i="6"/>
  <c r="P25" i="2"/>
  <c r="Q56" i="5"/>
  <c r="Q220" i="5"/>
  <c r="Q63" i="5"/>
  <c r="P188" i="4"/>
  <c r="P17" i="6"/>
  <c r="Q170" i="5"/>
  <c r="P82" i="1"/>
  <c r="Q178" i="4"/>
  <c r="I102" i="5"/>
  <c r="H102" i="5" s="1"/>
  <c r="P102" i="5" s="1"/>
  <c r="Q64" i="5"/>
  <c r="Q126" i="5"/>
  <c r="Q204" i="5"/>
  <c r="Q206" i="6"/>
  <c r="P154" i="5"/>
  <c r="P123" i="6"/>
  <c r="P94" i="4"/>
  <c r="P3" i="2"/>
  <c r="Q74" i="4"/>
  <c r="Q191" i="5"/>
  <c r="Q109" i="5"/>
  <c r="Q76" i="5"/>
  <c r="P27" i="5"/>
  <c r="Q121" i="5"/>
  <c r="Q186" i="4"/>
  <c r="Q115" i="4"/>
  <c r="P198" i="4"/>
  <c r="Q4" i="4"/>
  <c r="Q227" i="4"/>
  <c r="Q221" i="4"/>
  <c r="Q33" i="2"/>
  <c r="Q103" i="4"/>
  <c r="Q57" i="4"/>
  <c r="Q74" i="5"/>
  <c r="Q86" i="4"/>
  <c r="Q105" i="4"/>
  <c r="P31" i="6"/>
  <c r="P19" i="5"/>
  <c r="P26" i="4"/>
  <c r="Q151" i="4"/>
  <c r="P138" i="5"/>
  <c r="Q101" i="5"/>
  <c r="Q33" i="5"/>
  <c r="Q217" i="4"/>
  <c r="Q30" i="6"/>
  <c r="Q28" i="2"/>
  <c r="Q189" i="5"/>
  <c r="P14" i="6"/>
  <c r="Q15" i="5"/>
  <c r="Q23" i="5"/>
  <c r="P158" i="5"/>
  <c r="P15" i="4"/>
  <c r="Q23" i="4"/>
  <c r="Q69" i="5"/>
  <c r="P204" i="4"/>
  <c r="Q201" i="5"/>
  <c r="P201" i="6"/>
  <c r="Q214" i="4"/>
  <c r="I80" i="6"/>
  <c r="H80" i="6" s="1"/>
  <c r="Q190" i="6"/>
  <c r="I191" i="6"/>
  <c r="H191" i="6" s="1"/>
  <c r="P134" i="4"/>
  <c r="I135" i="4"/>
  <c r="H135" i="4" s="1"/>
  <c r="Q134" i="4"/>
  <c r="P53" i="5"/>
  <c r="Q53" i="5"/>
  <c r="Q36" i="5"/>
  <c r="Q19" i="6"/>
  <c r="P19" i="6"/>
  <c r="I20" i="6"/>
  <c r="H20" i="6" s="1"/>
  <c r="Q211" i="4"/>
  <c r="P140" i="4"/>
  <c r="I141" i="4"/>
  <c r="H141" i="4" s="1"/>
  <c r="Q247" i="6"/>
  <c r="I248" i="6"/>
  <c r="H248" i="6" s="1"/>
  <c r="Q111" i="6"/>
  <c r="Q205" i="4"/>
  <c r="P116" i="4"/>
  <c r="Q116" i="4"/>
  <c r="P200" i="4"/>
  <c r="Q200" i="4"/>
  <c r="P50" i="4"/>
  <c r="I51" i="4"/>
  <c r="Q50" i="4"/>
  <c r="P118" i="5"/>
  <c r="Q118" i="5"/>
  <c r="P230" i="4"/>
  <c r="Q230" i="4"/>
  <c r="P122" i="5"/>
  <c r="Q122" i="5"/>
  <c r="Q146" i="4"/>
  <c r="I147" i="4"/>
  <c r="H147" i="4" s="1"/>
  <c r="P146" i="4"/>
  <c r="P169" i="4"/>
  <c r="I170" i="4"/>
  <c r="H170" i="4" s="1"/>
  <c r="Q208" i="4"/>
  <c r="P208" i="4"/>
  <c r="P197" i="5"/>
  <c r="Q197" i="5"/>
  <c r="Q220" i="4"/>
  <c r="P220" i="4"/>
  <c r="Q182" i="6"/>
  <c r="P182" i="6"/>
  <c r="Q38" i="6"/>
  <c r="P190" i="6"/>
  <c r="P184" i="6"/>
  <c r="I185" i="6"/>
  <c r="H185" i="6" s="1"/>
  <c r="P106" i="4"/>
  <c r="Q106" i="4"/>
  <c r="Q167" i="4"/>
  <c r="I179" i="4"/>
  <c r="H179" i="4" s="1"/>
  <c r="P206" i="6"/>
  <c r="P138" i="4"/>
  <c r="P216" i="5"/>
  <c r="P3" i="6"/>
  <c r="Q70" i="5"/>
  <c r="I144" i="4"/>
  <c r="H144" i="4" s="1"/>
  <c r="Q94" i="4"/>
  <c r="I161" i="4"/>
  <c r="H161" i="4" s="1"/>
  <c r="Q132" i="4"/>
  <c r="Q73" i="5"/>
  <c r="Q15" i="4"/>
  <c r="P35" i="4"/>
  <c r="Q36" i="6"/>
  <c r="P150" i="4"/>
  <c r="Q95" i="4"/>
  <c r="P195" i="6"/>
  <c r="Q9" i="2"/>
  <c r="P57" i="4"/>
  <c r="Q137" i="4"/>
  <c r="Q178" i="5"/>
  <c r="P122" i="6"/>
  <c r="Q229" i="4"/>
  <c r="P20" i="4"/>
  <c r="P64" i="4"/>
  <c r="P154" i="4"/>
  <c r="Q119" i="5"/>
  <c r="Q150" i="5"/>
  <c r="I121" i="4"/>
  <c r="H121" i="4" s="1"/>
  <c r="P51" i="6"/>
  <c r="Q59" i="5"/>
  <c r="I118" i="4"/>
  <c r="H118" i="4" s="1"/>
  <c r="P21" i="4"/>
  <c r="Q21" i="4"/>
  <c r="H65" i="4"/>
  <c r="I66" i="4"/>
  <c r="H66" i="4" s="1"/>
  <c r="Q16" i="4"/>
  <c r="P16" i="4"/>
  <c r="H58" i="4"/>
  <c r="I59" i="4"/>
  <c r="H59" i="4" s="1"/>
  <c r="I155" i="5"/>
  <c r="I164" i="4"/>
  <c r="H164" i="4" s="1"/>
  <c r="I240" i="6"/>
  <c r="H240" i="6" s="1"/>
  <c r="I27" i="4"/>
  <c r="I168" i="4"/>
  <c r="H168" i="4" s="1"/>
  <c r="I222" i="5"/>
  <c r="H222" i="5" s="1"/>
  <c r="P131" i="4"/>
  <c r="I208" i="6"/>
  <c r="P121" i="6"/>
  <c r="P198" i="5"/>
  <c r="I196" i="6"/>
  <c r="H196" i="6" s="1"/>
  <c r="I171" i="5"/>
  <c r="I172" i="5" s="1"/>
  <c r="H172" i="5" s="1"/>
  <c r="P139" i="4"/>
  <c r="I15" i="6"/>
  <c r="Q214" i="5"/>
  <c r="I203" i="5"/>
  <c r="H203" i="5" s="1"/>
  <c r="I18" i="6"/>
  <c r="H18" i="6" s="1"/>
  <c r="P166" i="4"/>
  <c r="Q166" i="4"/>
  <c r="Q202" i="4"/>
  <c r="P120" i="4"/>
  <c r="P31" i="2"/>
  <c r="Q115" i="5"/>
  <c r="I176" i="4"/>
  <c r="H176" i="4" s="1"/>
  <c r="P128" i="4"/>
  <c r="Q108" i="4"/>
  <c r="Q28" i="6"/>
  <c r="Q221" i="5"/>
  <c r="Q109" i="4"/>
  <c r="Q6" i="2"/>
  <c r="Q9" i="6"/>
  <c r="Q57" i="5"/>
  <c r="Q78" i="5"/>
  <c r="Q30" i="2"/>
  <c r="P21" i="6"/>
  <c r="Q45" i="6"/>
  <c r="P180" i="5"/>
  <c r="Q131" i="4"/>
  <c r="P160" i="4"/>
  <c r="I202" i="6"/>
  <c r="H202" i="6" s="1"/>
  <c r="P153" i="4"/>
  <c r="P37" i="6"/>
  <c r="Q194" i="5"/>
  <c r="I179" i="5"/>
  <c r="H179" i="5" s="1"/>
  <c r="Q163" i="4"/>
  <c r="Q198" i="5"/>
  <c r="Q185" i="4"/>
  <c r="P29" i="4"/>
  <c r="Q54" i="5"/>
  <c r="I22" i="6"/>
  <c r="H22" i="6" s="1"/>
  <c r="P48" i="6"/>
  <c r="Q224" i="4"/>
  <c r="Q136" i="5"/>
  <c r="Q200" i="5"/>
  <c r="Q4" i="2"/>
  <c r="P172" i="4"/>
  <c r="Q194" i="4"/>
  <c r="P112" i="5"/>
  <c r="Q199" i="4"/>
  <c r="I163" i="5"/>
  <c r="Q39" i="5"/>
  <c r="I137" i="5"/>
  <c r="H137" i="5" s="1"/>
  <c r="I113" i="6"/>
  <c r="I159" i="5"/>
  <c r="Q190" i="5"/>
  <c r="Q222" i="4"/>
  <c r="Q176" i="5"/>
  <c r="I195" i="5"/>
  <c r="H195" i="5" s="1"/>
  <c r="I107" i="5"/>
  <c r="H107" i="5" s="1"/>
  <c r="Q210" i="4"/>
  <c r="Q209" i="5"/>
  <c r="Q17" i="3"/>
  <c r="P186" i="6"/>
  <c r="P239" i="6"/>
  <c r="Q180" i="5"/>
  <c r="I204" i="6"/>
  <c r="H204" i="6" s="1"/>
  <c r="Q129" i="4"/>
  <c r="Q218" i="5"/>
  <c r="I198" i="6"/>
  <c r="H198" i="6" s="1"/>
  <c r="P120" i="6"/>
  <c r="Q212" i="4"/>
  <c r="Q67" i="5"/>
  <c r="Q151" i="5"/>
  <c r="Q29" i="4"/>
  <c r="Q25" i="5"/>
  <c r="I79" i="4"/>
  <c r="H79" i="4" s="1"/>
  <c r="P231" i="6"/>
  <c r="I124" i="6"/>
  <c r="H124" i="6" s="1"/>
  <c r="I75" i="4"/>
  <c r="P214" i="6"/>
  <c r="P40" i="6"/>
  <c r="Q6" i="6"/>
  <c r="P123" i="4"/>
  <c r="P39" i="6"/>
  <c r="P187" i="4"/>
  <c r="I208" i="5"/>
  <c r="H208" i="5" s="1"/>
  <c r="P27" i="2"/>
  <c r="P222" i="6"/>
  <c r="Q219" i="4"/>
  <c r="Q34" i="4"/>
  <c r="I96" i="4"/>
  <c r="I24" i="4"/>
  <c r="Q75" i="5"/>
  <c r="Q217" i="5"/>
  <c r="I36" i="4"/>
  <c r="H36" i="4" s="1"/>
  <c r="I139" i="5"/>
  <c r="I182" i="5"/>
  <c r="I127" i="5"/>
  <c r="Q181" i="5"/>
  <c r="P30" i="4"/>
  <c r="Q30" i="4"/>
  <c r="I187" i="6"/>
  <c r="H187" i="6" s="1"/>
  <c r="I110" i="4"/>
  <c r="H110" i="4" s="1"/>
  <c r="P10" i="6"/>
  <c r="I143" i="5"/>
  <c r="P18" i="3"/>
  <c r="Q111" i="5"/>
  <c r="Q32" i="6"/>
  <c r="I18" i="4"/>
  <c r="I210" i="5"/>
  <c r="H210" i="5" s="1"/>
  <c r="Q138" i="4"/>
  <c r="Q216" i="5"/>
  <c r="P207" i="6"/>
  <c r="I147" i="5"/>
  <c r="P137" i="4"/>
  <c r="Q20" i="4"/>
  <c r="I159" i="4"/>
  <c r="H159" i="4" s="1"/>
  <c r="I133" i="4"/>
  <c r="H133" i="4" s="1"/>
  <c r="Q64" i="4"/>
  <c r="P150" i="5"/>
  <c r="I44" i="4"/>
  <c r="P23" i="6"/>
  <c r="I24" i="6"/>
  <c r="H24" i="6" s="1"/>
  <c r="Q24" i="6" s="1"/>
  <c r="H31" i="4" l="1"/>
  <c r="P31" i="4" s="1"/>
  <c r="I32" i="4"/>
  <c r="H32" i="4" s="1"/>
  <c r="P20" i="3"/>
  <c r="Q189" i="6"/>
  <c r="P200" i="6"/>
  <c r="P22" i="4"/>
  <c r="H19" i="3"/>
  <c r="P19" i="3" s="1"/>
  <c r="H90" i="4"/>
  <c r="Q90" i="4" s="1"/>
  <c r="P52" i="6"/>
  <c r="Q87" i="4"/>
  <c r="P174" i="4"/>
  <c r="P156" i="4"/>
  <c r="I43" i="6"/>
  <c r="I44" i="6" s="1"/>
  <c r="H44" i="6" s="1"/>
  <c r="P44" i="6" s="1"/>
  <c r="P42" i="6"/>
  <c r="I216" i="6"/>
  <c r="I217" i="6" s="1"/>
  <c r="H217" i="6" s="1"/>
  <c r="Q217" i="6" s="1"/>
  <c r="Q89" i="4"/>
  <c r="P89" i="4"/>
  <c r="I226" i="6"/>
  <c r="H226" i="6" s="1"/>
  <c r="Q226" i="6" s="1"/>
  <c r="H223" i="6"/>
  <c r="Q223" i="6" s="1"/>
  <c r="Q225" i="6"/>
  <c r="Q245" i="6"/>
  <c r="P215" i="6"/>
  <c r="P173" i="4"/>
  <c r="Q173" i="4"/>
  <c r="H224" i="6"/>
  <c r="Q224" i="6" s="1"/>
  <c r="P152" i="5"/>
  <c r="P183" i="4"/>
  <c r="Q183" i="4"/>
  <c r="H168" i="5"/>
  <c r="Q168" i="5" s="1"/>
  <c r="P9" i="4"/>
  <c r="I10" i="4"/>
  <c r="Q192" i="5"/>
  <c r="P192" i="5"/>
  <c r="Q13" i="6"/>
  <c r="P13" i="6"/>
  <c r="H167" i="5"/>
  <c r="P125" i="4"/>
  <c r="Q125" i="4"/>
  <c r="H171" i="5"/>
  <c r="Q171" i="5" s="1"/>
  <c r="P235" i="6"/>
  <c r="I6" i="4"/>
  <c r="H6" i="4" s="1"/>
  <c r="H5" i="4"/>
  <c r="I153" i="5"/>
  <c r="H153" i="5" s="1"/>
  <c r="P11" i="6"/>
  <c r="P193" i="6"/>
  <c r="Q193" i="6"/>
  <c r="I252" i="6"/>
  <c r="H252" i="6" s="1"/>
  <c r="Q251" i="6"/>
  <c r="P251" i="6"/>
  <c r="H54" i="6"/>
  <c r="I55" i="6"/>
  <c r="H55" i="6" s="1"/>
  <c r="Q102" i="5"/>
  <c r="P80" i="6"/>
  <c r="Q80" i="6"/>
  <c r="I81" i="6"/>
  <c r="H81" i="6" s="1"/>
  <c r="Q110" i="4"/>
  <c r="P110" i="4"/>
  <c r="I111" i="4"/>
  <c r="H111" i="4" s="1"/>
  <c r="Q36" i="4"/>
  <c r="P36" i="4"/>
  <c r="I37" i="4"/>
  <c r="I76" i="4"/>
  <c r="H76" i="4" s="1"/>
  <c r="H75" i="4"/>
  <c r="I165" i="4"/>
  <c r="H165" i="4" s="1"/>
  <c r="P164" i="4"/>
  <c r="Q164" i="4"/>
  <c r="P141" i="4"/>
  <c r="Q141" i="4"/>
  <c r="I142" i="4"/>
  <c r="H142" i="4" s="1"/>
  <c r="P133" i="4"/>
  <c r="Q133" i="4"/>
  <c r="P210" i="5"/>
  <c r="Q210" i="5"/>
  <c r="P187" i="6"/>
  <c r="Q187" i="6"/>
  <c r="P208" i="5"/>
  <c r="Q208" i="5"/>
  <c r="P124" i="6"/>
  <c r="I125" i="6"/>
  <c r="Q124" i="6"/>
  <c r="H159" i="5"/>
  <c r="I160" i="5"/>
  <c r="P18" i="6"/>
  <c r="Q18" i="6"/>
  <c r="H155" i="5"/>
  <c r="I156" i="5"/>
  <c r="Q161" i="4"/>
  <c r="I162" i="4"/>
  <c r="H162" i="4" s="1"/>
  <c r="P161" i="4"/>
  <c r="I180" i="4"/>
  <c r="H180" i="4" s="1"/>
  <c r="P179" i="4"/>
  <c r="Q179" i="4"/>
  <c r="I19" i="4"/>
  <c r="H19" i="4" s="1"/>
  <c r="H18" i="4"/>
  <c r="Q198" i="6"/>
  <c r="P198" i="6"/>
  <c r="H113" i="6"/>
  <c r="I114" i="6"/>
  <c r="H114" i="6" s="1"/>
  <c r="P202" i="6"/>
  <c r="Q202" i="6"/>
  <c r="I177" i="4"/>
  <c r="H177" i="4" s="1"/>
  <c r="P176" i="4"/>
  <c r="Q176" i="4"/>
  <c r="Q203" i="5"/>
  <c r="P203" i="5"/>
  <c r="H208" i="6"/>
  <c r="I209" i="6"/>
  <c r="H209" i="6" s="1"/>
  <c r="Q59" i="4"/>
  <c r="P59" i="4"/>
  <c r="I60" i="4"/>
  <c r="Q118" i="4"/>
  <c r="I119" i="4"/>
  <c r="H119" i="4" s="1"/>
  <c r="P118" i="4"/>
  <c r="P170" i="4"/>
  <c r="I171" i="4"/>
  <c r="H171" i="4" s="1"/>
  <c r="Q170" i="4"/>
  <c r="I136" i="4"/>
  <c r="H136" i="4" s="1"/>
  <c r="Q135" i="4"/>
  <c r="P135" i="4"/>
  <c r="I25" i="4"/>
  <c r="H25" i="4" s="1"/>
  <c r="H24" i="4"/>
  <c r="I80" i="4"/>
  <c r="P79" i="4"/>
  <c r="Q79" i="4"/>
  <c r="Q137" i="5"/>
  <c r="P137" i="5"/>
  <c r="Q58" i="4"/>
  <c r="P58" i="4"/>
  <c r="Q144" i="4"/>
  <c r="I145" i="4"/>
  <c r="H145" i="4" s="1"/>
  <c r="P144" i="4"/>
  <c r="P20" i="6"/>
  <c r="Q20" i="6"/>
  <c r="P159" i="4"/>
  <c r="Q159" i="4"/>
  <c r="H96" i="4"/>
  <c r="I97" i="4"/>
  <c r="P107" i="5"/>
  <c r="Q107" i="5"/>
  <c r="H15" i="6"/>
  <c r="I16" i="6"/>
  <c r="H16" i="6" s="1"/>
  <c r="Q222" i="5"/>
  <c r="P222" i="5"/>
  <c r="Q191" i="6"/>
  <c r="P191" i="6"/>
  <c r="P172" i="5"/>
  <c r="Q172" i="5"/>
  <c r="I148" i="5"/>
  <c r="H148" i="5" s="1"/>
  <c r="H147" i="5"/>
  <c r="Q147" i="5" s="1"/>
  <c r="I128" i="5"/>
  <c r="H127" i="5"/>
  <c r="Q204" i="6"/>
  <c r="P204" i="6"/>
  <c r="P195" i="5"/>
  <c r="Q195" i="5"/>
  <c r="H163" i="5"/>
  <c r="I164" i="5"/>
  <c r="P179" i="5"/>
  <c r="Q179" i="5"/>
  <c r="P168" i="4"/>
  <c r="Q168" i="4"/>
  <c r="Q121" i="4"/>
  <c r="P121" i="4"/>
  <c r="I122" i="4"/>
  <c r="H122" i="4" s="1"/>
  <c r="P185" i="6"/>
  <c r="Q185" i="6"/>
  <c r="I148" i="4"/>
  <c r="H148" i="4" s="1"/>
  <c r="P147" i="4"/>
  <c r="Q147" i="4"/>
  <c r="I45" i="4"/>
  <c r="H45" i="4" s="1"/>
  <c r="H44" i="4"/>
  <c r="H143" i="5"/>
  <c r="I144" i="5"/>
  <c r="H144" i="5" s="1"/>
  <c r="I183" i="5"/>
  <c r="H182" i="5"/>
  <c r="I28" i="4"/>
  <c r="H28" i="4" s="1"/>
  <c r="H27" i="4"/>
  <c r="P66" i="4"/>
  <c r="Q66" i="4"/>
  <c r="I67" i="4"/>
  <c r="I52" i="4"/>
  <c r="H52" i="4" s="1"/>
  <c r="H51" i="4"/>
  <c r="Q248" i="6"/>
  <c r="P248" i="6"/>
  <c r="H139" i="5"/>
  <c r="I140" i="5"/>
  <c r="H140" i="5" s="1"/>
  <c r="Q22" i="6"/>
  <c r="P22" i="6"/>
  <c r="P196" i="6"/>
  <c r="Q196" i="6"/>
  <c r="Q240" i="6"/>
  <c r="P240" i="6"/>
  <c r="I241" i="6"/>
  <c r="H241" i="6" s="1"/>
  <c r="Q65" i="4"/>
  <c r="P65" i="4"/>
  <c r="Q169" i="5"/>
  <c r="P169" i="5"/>
  <c r="I92" i="4"/>
  <c r="H91" i="4"/>
  <c r="P24" i="6"/>
  <c r="H25" i="6"/>
  <c r="Q25" i="6" s="1"/>
  <c r="P90" i="4" l="1"/>
  <c r="Q31" i="4"/>
  <c r="P32" i="4"/>
  <c r="Q32" i="4"/>
  <c r="Q19" i="3"/>
  <c r="P226" i="6"/>
  <c r="I218" i="6"/>
  <c r="H218" i="6" s="1"/>
  <c r="P218" i="6" s="1"/>
  <c r="H216" i="6"/>
  <c r="Q216" i="6" s="1"/>
  <c r="Q44" i="6"/>
  <c r="H43" i="6"/>
  <c r="P43" i="6" s="1"/>
  <c r="P217" i="6"/>
  <c r="P223" i="6"/>
  <c r="P168" i="5"/>
  <c r="P224" i="6"/>
  <c r="P171" i="5"/>
  <c r="I11" i="4"/>
  <c r="H11" i="4" s="1"/>
  <c r="H10" i="4"/>
  <c r="Q167" i="5"/>
  <c r="P167" i="5"/>
  <c r="P153" i="5"/>
  <c r="Q153" i="5"/>
  <c r="P5" i="4"/>
  <c r="Q5" i="4"/>
  <c r="Q6" i="4"/>
  <c r="P6" i="4"/>
  <c r="P252" i="6"/>
  <c r="Q252" i="6"/>
  <c r="P81" i="6"/>
  <c r="Q81" i="6"/>
  <c r="Q55" i="6"/>
  <c r="I56" i="6"/>
  <c r="P55" i="6"/>
  <c r="P54" i="6"/>
  <c r="Q54" i="6"/>
  <c r="P52" i="4"/>
  <c r="Q52" i="4"/>
  <c r="I53" i="4"/>
  <c r="I145" i="5"/>
  <c r="H145" i="5" s="1"/>
  <c r="Q144" i="5"/>
  <c r="P144" i="5"/>
  <c r="H164" i="5"/>
  <c r="I165" i="5"/>
  <c r="H165" i="5" s="1"/>
  <c r="P147" i="5"/>
  <c r="Q16" i="6"/>
  <c r="P16" i="6"/>
  <c r="I126" i="6"/>
  <c r="H125" i="6"/>
  <c r="P75" i="4"/>
  <c r="Q75" i="4"/>
  <c r="P122" i="4"/>
  <c r="Q122" i="4"/>
  <c r="Q163" i="5"/>
  <c r="P163" i="5"/>
  <c r="Q148" i="5"/>
  <c r="P148" i="5"/>
  <c r="I149" i="5"/>
  <c r="H149" i="5" s="1"/>
  <c r="P15" i="6"/>
  <c r="Q15" i="6"/>
  <c r="I61" i="4"/>
  <c r="H60" i="4"/>
  <c r="Q18" i="4"/>
  <c r="P18" i="4"/>
  <c r="H156" i="5"/>
  <c r="I157" i="5"/>
  <c r="H157" i="5" s="1"/>
  <c r="Q76" i="4"/>
  <c r="P76" i="4"/>
  <c r="P44" i="4"/>
  <c r="Q44" i="4"/>
  <c r="P136" i="4"/>
  <c r="Q136" i="4"/>
  <c r="P177" i="4"/>
  <c r="Q177" i="4"/>
  <c r="P19" i="4"/>
  <c r="Q19" i="4"/>
  <c r="P155" i="5"/>
  <c r="Q155" i="5"/>
  <c r="P142" i="4"/>
  <c r="Q142" i="4"/>
  <c r="I38" i="4"/>
  <c r="H37" i="4"/>
  <c r="I68" i="4"/>
  <c r="H67" i="4"/>
  <c r="P140" i="5"/>
  <c r="I141" i="5"/>
  <c r="H141" i="5" s="1"/>
  <c r="Q140" i="5"/>
  <c r="I46" i="4"/>
  <c r="Q45" i="4"/>
  <c r="P45" i="4"/>
  <c r="Q241" i="6"/>
  <c r="P241" i="6"/>
  <c r="P139" i="5"/>
  <c r="Q139" i="5"/>
  <c r="Q27" i="4"/>
  <c r="P27" i="4"/>
  <c r="H97" i="4"/>
  <c r="I98" i="4"/>
  <c r="P171" i="4"/>
  <c r="Q171" i="4"/>
  <c r="P209" i="6"/>
  <c r="Q209" i="6"/>
  <c r="I210" i="6"/>
  <c r="H210" i="6" s="1"/>
  <c r="Q143" i="5"/>
  <c r="P143" i="5"/>
  <c r="Q28" i="4"/>
  <c r="P28" i="4"/>
  <c r="P96" i="4"/>
  <c r="Q96" i="4"/>
  <c r="Q145" i="4"/>
  <c r="P145" i="4"/>
  <c r="I81" i="4"/>
  <c r="H80" i="4"/>
  <c r="P208" i="6"/>
  <c r="Q208" i="6"/>
  <c r="P114" i="6"/>
  <c r="Q114" i="6"/>
  <c r="I115" i="6"/>
  <c r="H115" i="6" s="1"/>
  <c r="Q180" i="4"/>
  <c r="P180" i="4"/>
  <c r="I161" i="5"/>
  <c r="H161" i="5" s="1"/>
  <c r="H160" i="5"/>
  <c r="Q111" i="4"/>
  <c r="P111" i="4"/>
  <c r="P182" i="5"/>
  <c r="Q182" i="5"/>
  <c r="P148" i="4"/>
  <c r="Q148" i="4"/>
  <c r="Q127" i="5"/>
  <c r="P127" i="5"/>
  <c r="P24" i="4"/>
  <c r="Q24" i="4"/>
  <c r="P113" i="6"/>
  <c r="Q113" i="6"/>
  <c r="Q159" i="5"/>
  <c r="P159" i="5"/>
  <c r="Q51" i="4"/>
  <c r="P51" i="4"/>
  <c r="H183" i="5"/>
  <c r="I184" i="5"/>
  <c r="I129" i="5"/>
  <c r="H128" i="5"/>
  <c r="P25" i="4"/>
  <c r="Q25" i="4"/>
  <c r="P119" i="4"/>
  <c r="Q119" i="4"/>
  <c r="Q162" i="4"/>
  <c r="P162" i="4"/>
  <c r="P165" i="4"/>
  <c r="Q165" i="4"/>
  <c r="Q91" i="4"/>
  <c r="P91" i="4"/>
  <c r="H92" i="4"/>
  <c r="I93" i="4"/>
  <c r="H93" i="4" s="1"/>
  <c r="P25" i="6"/>
  <c r="I26" i="6"/>
  <c r="H26" i="6" s="1"/>
  <c r="Q26" i="6" s="1"/>
  <c r="H38" i="4" l="1"/>
  <c r="P38" i="4" s="1"/>
  <c r="Q218" i="6"/>
  <c r="P216" i="6"/>
  <c r="Q43" i="6"/>
  <c r="Q10" i="4"/>
  <c r="P10" i="4"/>
  <c r="Q11" i="4"/>
  <c r="P11" i="4"/>
  <c r="I57" i="6"/>
  <c r="H56" i="6"/>
  <c r="H184" i="5"/>
  <c r="I185" i="5"/>
  <c r="H185" i="5" s="1"/>
  <c r="P183" i="5"/>
  <c r="Q183" i="5"/>
  <c r="H68" i="4"/>
  <c r="I69" i="4"/>
  <c r="Q165" i="5"/>
  <c r="P165" i="5"/>
  <c r="Q160" i="5"/>
  <c r="P160" i="5"/>
  <c r="Q37" i="4"/>
  <c r="P37" i="4"/>
  <c r="Q149" i="5"/>
  <c r="P149" i="5"/>
  <c r="Q164" i="5"/>
  <c r="P164" i="5"/>
  <c r="I99" i="4"/>
  <c r="H99" i="4" s="1"/>
  <c r="H98" i="4"/>
  <c r="Q97" i="4"/>
  <c r="P97" i="4"/>
  <c r="P125" i="6"/>
  <c r="Q125" i="6"/>
  <c r="P80" i="4"/>
  <c r="Q80" i="4"/>
  <c r="P156" i="5"/>
  <c r="Q156" i="5"/>
  <c r="H81" i="4"/>
  <c r="I82" i="4"/>
  <c r="I47" i="4"/>
  <c r="H46" i="4"/>
  <c r="I127" i="6"/>
  <c r="H127" i="6" s="1"/>
  <c r="H126" i="6"/>
  <c r="Q157" i="5"/>
  <c r="P157" i="5"/>
  <c r="Q161" i="5"/>
  <c r="P161" i="5"/>
  <c r="Q210" i="6"/>
  <c r="P210" i="6"/>
  <c r="Q145" i="5"/>
  <c r="P145" i="5"/>
  <c r="Q128" i="5"/>
  <c r="P128" i="5"/>
  <c r="P115" i="6"/>
  <c r="I116" i="6"/>
  <c r="H116" i="6" s="1"/>
  <c r="Q115" i="6"/>
  <c r="P141" i="5"/>
  <c r="Q141" i="5"/>
  <c r="P60" i="4"/>
  <c r="Q60" i="4"/>
  <c r="H53" i="4"/>
  <c r="I54" i="4"/>
  <c r="H61" i="4"/>
  <c r="I62" i="4"/>
  <c r="H129" i="5"/>
  <c r="I130" i="5"/>
  <c r="Q67" i="4"/>
  <c r="P67" i="4"/>
  <c r="Q92" i="4"/>
  <c r="P92" i="4"/>
  <c r="Q93" i="4"/>
  <c r="P93" i="4"/>
  <c r="P26" i="6"/>
  <c r="H27" i="6"/>
  <c r="Q27" i="6" s="1"/>
  <c r="Q38" i="4" l="1"/>
  <c r="I39" i="4"/>
  <c r="H39" i="4" s="1"/>
  <c r="Q56" i="6"/>
  <c r="P56" i="6"/>
  <c r="I58" i="6"/>
  <c r="H57" i="6"/>
  <c r="Q129" i="5"/>
  <c r="P129" i="5"/>
  <c r="I63" i="4"/>
  <c r="H63" i="4" s="1"/>
  <c r="H62" i="4"/>
  <c r="Q127" i="6"/>
  <c r="P127" i="6"/>
  <c r="P116" i="6"/>
  <c r="Q116" i="6"/>
  <c r="Q99" i="4"/>
  <c r="P99" i="4"/>
  <c r="P68" i="4"/>
  <c r="Q68" i="4"/>
  <c r="I131" i="5"/>
  <c r="H130" i="5"/>
  <c r="P46" i="4"/>
  <c r="Q46" i="4"/>
  <c r="H69" i="4"/>
  <c r="I70" i="4"/>
  <c r="H70" i="4" s="1"/>
  <c r="H47" i="4"/>
  <c r="I48" i="4"/>
  <c r="P53" i="4"/>
  <c r="Q53" i="4"/>
  <c r="I83" i="4"/>
  <c r="H82" i="4"/>
  <c r="Q126" i="6"/>
  <c r="P126" i="6"/>
  <c r="I55" i="4"/>
  <c r="H54" i="4"/>
  <c r="Q81" i="4"/>
  <c r="P81" i="4"/>
  <c r="P61" i="4"/>
  <c r="Q61" i="4"/>
  <c r="Q98" i="4"/>
  <c r="P98" i="4"/>
  <c r="P185" i="5"/>
  <c r="Q185" i="5"/>
  <c r="P184" i="5"/>
  <c r="Q184" i="5"/>
  <c r="P27" i="6"/>
  <c r="I40" i="4" l="1"/>
  <c r="I41" i="4" s="1"/>
  <c r="P39" i="4"/>
  <c r="Q39" i="4"/>
  <c r="P57" i="6"/>
  <c r="Q57" i="6"/>
  <c r="I59" i="6"/>
  <c r="H58" i="6"/>
  <c r="Q82" i="4"/>
  <c r="P82" i="4"/>
  <c r="H83" i="4"/>
  <c r="I84" i="4"/>
  <c r="Q130" i="5"/>
  <c r="P130" i="5"/>
  <c r="I132" i="5"/>
  <c r="H131" i="5"/>
  <c r="P54" i="4"/>
  <c r="Q54" i="4"/>
  <c r="I49" i="4"/>
  <c r="H49" i="4" s="1"/>
  <c r="H48" i="4"/>
  <c r="P62" i="4"/>
  <c r="Q62" i="4"/>
  <c r="Q47" i="4"/>
  <c r="P47" i="4"/>
  <c r="P63" i="4"/>
  <c r="Q63" i="4"/>
  <c r="P70" i="4"/>
  <c r="Q70" i="4"/>
  <c r="I56" i="4"/>
  <c r="H56" i="4" s="1"/>
  <c r="H55" i="4"/>
  <c r="P69" i="4"/>
  <c r="Q69" i="4"/>
  <c r="H40" i="4" l="1"/>
  <c r="P40" i="4" s="1"/>
  <c r="H41" i="4"/>
  <c r="I42" i="4"/>
  <c r="H42" i="4" s="1"/>
  <c r="I60" i="6"/>
  <c r="H60" i="6" s="1"/>
  <c r="H59" i="6"/>
  <c r="Q58" i="6"/>
  <c r="P58" i="6"/>
  <c r="P131" i="5"/>
  <c r="Q131" i="5"/>
  <c r="P55" i="4"/>
  <c r="Q55" i="4"/>
  <c r="P56" i="4"/>
  <c r="Q56" i="4"/>
  <c r="Q48" i="4"/>
  <c r="P48" i="4"/>
  <c r="I85" i="4"/>
  <c r="H85" i="4" s="1"/>
  <c r="H84" i="4"/>
  <c r="H132" i="5"/>
  <c r="I133" i="5"/>
  <c r="Q49" i="4"/>
  <c r="P49" i="4"/>
  <c r="P83" i="4"/>
  <c r="Q83" i="4"/>
  <c r="Q40" i="4" l="1"/>
  <c r="P42" i="4"/>
  <c r="Q42" i="4"/>
  <c r="Q41" i="4"/>
  <c r="P41" i="4"/>
  <c r="I61" i="6"/>
  <c r="I62" i="6" s="1"/>
  <c r="I63" i="6" s="1"/>
  <c r="P60" i="6"/>
  <c r="Q60" i="6"/>
  <c r="P59" i="6"/>
  <c r="Q59" i="6"/>
  <c r="H133" i="5"/>
  <c r="I134" i="5"/>
  <c r="P84" i="4"/>
  <c r="Q84" i="4"/>
  <c r="Q132" i="5"/>
  <c r="P132" i="5"/>
  <c r="Q85" i="4"/>
  <c r="P85" i="4"/>
  <c r="H62" i="6" l="1"/>
  <c r="Q62" i="6" s="1"/>
  <c r="H61" i="6"/>
  <c r="P61" i="6" s="1"/>
  <c r="Q133" i="5"/>
  <c r="P133" i="5"/>
  <c r="I135" i="5"/>
  <c r="H135" i="5" s="1"/>
  <c r="H134" i="5"/>
  <c r="I64" i="6"/>
  <c r="H63" i="6"/>
  <c r="P62" i="6" l="1"/>
  <c r="Q61" i="6"/>
  <c r="Q134" i="5"/>
  <c r="P134" i="5"/>
  <c r="Q135" i="5"/>
  <c r="P135" i="5"/>
  <c r="Q63" i="6"/>
  <c r="P63" i="6"/>
  <c r="I65" i="6"/>
  <c r="H64" i="6"/>
  <c r="Q64" i="6" l="1"/>
  <c r="P64" i="6"/>
  <c r="I66" i="6"/>
  <c r="H65" i="6"/>
  <c r="Q65" i="6" l="1"/>
  <c r="P65" i="6"/>
  <c r="I67" i="6"/>
  <c r="H67" i="6" s="1"/>
  <c r="H66" i="6"/>
  <c r="Q66" i="6" l="1"/>
  <c r="P66" i="6"/>
  <c r="Q67" i="6"/>
  <c r="P67" i="6"/>
  <c r="I68" i="6"/>
  <c r="H68" i="6" l="1"/>
  <c r="I69" i="6" s="1"/>
  <c r="H69" i="6" s="1"/>
  <c r="Q69" i="6" l="1"/>
  <c r="I70" i="6"/>
  <c r="P69" i="6"/>
  <c r="P68" i="6"/>
  <c r="Q68" i="6"/>
  <c r="H70" i="6" l="1"/>
  <c r="I71" i="6"/>
  <c r="H71" i="6" l="1"/>
  <c r="I72" i="6" s="1"/>
  <c r="H72" i="6" s="1"/>
  <c r="Q70" i="6"/>
  <c r="P70" i="6"/>
  <c r="Q72" i="6" l="1"/>
  <c r="P72" i="6"/>
  <c r="I73" i="6"/>
  <c r="Q71" i="6"/>
  <c r="P71" i="6"/>
  <c r="I74" i="6" l="1"/>
  <c r="H73" i="6"/>
  <c r="Q73" i="6" l="1"/>
  <c r="P73" i="6"/>
  <c r="H74" i="6"/>
  <c r="I75" i="6" s="1"/>
  <c r="I76" i="6" l="1"/>
  <c r="H76" i="6" s="1"/>
  <c r="H75" i="6"/>
  <c r="Q74" i="6"/>
  <c r="P74" i="6"/>
  <c r="Q75" i="6" l="1"/>
  <c r="P75" i="6"/>
  <c r="I82" i="6"/>
  <c r="H82" i="6" s="1"/>
  <c r="Q76" i="6"/>
  <c r="P76" i="6"/>
  <c r="Q82" i="6" l="1"/>
  <c r="P82" i="6"/>
  <c r="I83" i="6"/>
  <c r="H83" i="6" l="1"/>
  <c r="I84" i="6" s="1"/>
  <c r="H84" i="6" s="1"/>
  <c r="Q84" i="6" l="1"/>
  <c r="P84" i="6"/>
  <c r="I85" i="6"/>
  <c r="Q83" i="6"/>
  <c r="P83" i="6"/>
  <c r="H85" i="6" l="1"/>
  <c r="I86" i="6" s="1"/>
  <c r="H86" i="6" s="1"/>
  <c r="Q86" i="6" l="1"/>
  <c r="P86" i="6"/>
  <c r="I87" i="6"/>
  <c r="Q85" i="6"/>
  <c r="P85" i="6"/>
  <c r="H87" i="6" l="1"/>
  <c r="Q87" i="6" l="1"/>
  <c r="P87" i="6"/>
  <c r="I88" i="6"/>
  <c r="H88" i="6" s="1"/>
  <c r="Q88" i="6" l="1"/>
  <c r="P88" i="6"/>
  <c r="I89" i="6"/>
  <c r="H89" i="6" l="1"/>
  <c r="I90" i="6" s="1"/>
  <c r="H90" i="6" s="1"/>
  <c r="Q90" i="6" l="1"/>
  <c r="I91" i="6"/>
  <c r="P90" i="6"/>
  <c r="Q89" i="6"/>
  <c r="P89" i="6"/>
  <c r="H91" i="6" l="1"/>
  <c r="I92" i="6" s="1"/>
  <c r="H92" i="6" s="1"/>
  <c r="Q92" i="6" l="1"/>
  <c r="P92" i="6"/>
  <c r="I93" i="6"/>
  <c r="Q91" i="6"/>
  <c r="P91" i="6"/>
  <c r="H93" i="6" l="1"/>
  <c r="I94" i="6" s="1"/>
  <c r="H94" i="6" s="1"/>
  <c r="Q94" i="6" l="1"/>
  <c r="P94" i="6"/>
  <c r="I95" i="6"/>
  <c r="Q93" i="6"/>
  <c r="P93" i="6"/>
  <c r="I96" i="6" l="1"/>
  <c r="H95" i="6"/>
  <c r="Q95" i="6" l="1"/>
  <c r="P95" i="6"/>
  <c r="H96" i="6"/>
  <c r="I97" i="6" s="1"/>
  <c r="H97" i="6" s="1"/>
  <c r="Q97" i="6" l="1"/>
  <c r="P97" i="6"/>
  <c r="I98" i="6"/>
  <c r="Q96" i="6"/>
  <c r="P96" i="6"/>
  <c r="I99" i="6" l="1"/>
  <c r="H98" i="6"/>
  <c r="Q98" i="6" l="1"/>
  <c r="P98" i="6"/>
  <c r="H99" i="6"/>
  <c r="I100" i="6" s="1"/>
  <c r="H100" i="6" s="1"/>
  <c r="Q100" i="6" l="1"/>
  <c r="P100" i="6"/>
  <c r="I101" i="6"/>
  <c r="Q99" i="6"/>
  <c r="P99" i="6"/>
  <c r="I102" i="6" l="1"/>
  <c r="H101" i="6"/>
  <c r="Q101" i="6" l="1"/>
  <c r="P101" i="6"/>
  <c r="H102" i="6"/>
  <c r="I103" i="6" s="1"/>
  <c r="H103" i="6" s="1"/>
  <c r="Q103" i="6" l="1"/>
  <c r="P103" i="6"/>
  <c r="I104" i="6"/>
  <c r="H104" i="6" s="1"/>
  <c r="Q102" i="6"/>
  <c r="P102" i="6"/>
  <c r="Q104" i="6" l="1"/>
  <c r="I105" i="6"/>
  <c r="P104" i="6"/>
  <c r="H105" i="6" l="1"/>
  <c r="I106" i="6" s="1"/>
  <c r="H106" i="6" s="1"/>
  <c r="Q106" i="6" l="1"/>
  <c r="P106" i="6"/>
  <c r="I107" i="6"/>
  <c r="Q105" i="6"/>
  <c r="P105" i="6"/>
  <c r="H107" i="6" l="1"/>
  <c r="I108" i="6" s="1"/>
  <c r="H108" i="6" s="1"/>
  <c r="Q108" i="6" l="1"/>
  <c r="I109" i="6"/>
  <c r="H109" i="6" s="1"/>
  <c r="I117" i="6" s="1"/>
  <c r="H117" i="6" s="1"/>
  <c r="P108" i="6"/>
  <c r="Q107" i="6"/>
  <c r="P107" i="6"/>
  <c r="Q117" i="6" l="1"/>
  <c r="P117" i="6"/>
  <c r="I118" i="6"/>
  <c r="H118" i="6" s="1"/>
  <c r="I128" i="6" s="1"/>
  <c r="H128" i="6" s="1"/>
  <c r="Q109" i="6"/>
  <c r="P109" i="6"/>
  <c r="Q128" i="6" l="1"/>
  <c r="I129" i="6"/>
  <c r="P128" i="6"/>
  <c r="P118" i="6"/>
  <c r="Q118" i="6"/>
  <c r="I130" i="6" l="1"/>
  <c r="H129" i="6"/>
  <c r="Q129" i="6" l="1"/>
  <c r="P129" i="6"/>
  <c r="H130" i="6"/>
  <c r="I131" i="6"/>
  <c r="H131" i="6" l="1"/>
  <c r="I132" i="6" s="1"/>
  <c r="H132" i="6" s="1"/>
  <c r="Q130" i="6"/>
  <c r="P130" i="6"/>
  <c r="Q132" i="6" l="1"/>
  <c r="P132" i="6"/>
  <c r="I133" i="6"/>
  <c r="Q131" i="6"/>
  <c r="P131" i="6"/>
  <c r="I134" i="6" l="1"/>
  <c r="H133" i="6"/>
  <c r="Q133" i="6" l="1"/>
  <c r="P133" i="6"/>
  <c r="I135" i="6"/>
  <c r="H134" i="6"/>
  <c r="H135" i="6" l="1"/>
  <c r="I136" i="6" s="1"/>
  <c r="H136" i="6" s="1"/>
  <c r="Q134" i="6"/>
  <c r="P134" i="6"/>
  <c r="Q136" i="6" l="1"/>
  <c r="I137" i="6"/>
  <c r="P136" i="6"/>
  <c r="Q135" i="6"/>
  <c r="P135" i="6"/>
  <c r="I138" i="6" l="1"/>
  <c r="H137" i="6"/>
  <c r="I139" i="6" l="1"/>
  <c r="H138" i="6"/>
  <c r="Q137" i="6"/>
  <c r="P137" i="6"/>
  <c r="Q138" i="6" l="1"/>
  <c r="P138" i="6"/>
  <c r="H139" i="6"/>
  <c r="I140" i="6" s="1"/>
  <c r="H140" i="6" s="1"/>
  <c r="Q140" i="6" l="1"/>
  <c r="P140" i="6"/>
  <c r="I141" i="6"/>
  <c r="P139" i="6"/>
  <c r="Q139" i="6"/>
  <c r="I142" i="6" l="1"/>
  <c r="H141" i="6"/>
  <c r="Q141" i="6" l="1"/>
  <c r="P141" i="6"/>
  <c r="H142" i="6"/>
  <c r="I143" i="6"/>
  <c r="Q142" i="6" l="1"/>
  <c r="P142" i="6"/>
  <c r="H143" i="6"/>
  <c r="I144" i="6" s="1"/>
  <c r="H144" i="6" s="1"/>
  <c r="Q144" i="6" l="1"/>
  <c r="P144" i="6"/>
  <c r="I145" i="6"/>
  <c r="Q143" i="6"/>
  <c r="P143" i="6"/>
  <c r="H145" i="6" l="1"/>
  <c r="I146" i="6"/>
  <c r="I147" i="6" l="1"/>
  <c r="H146" i="6"/>
  <c r="Q145" i="6"/>
  <c r="P145" i="6"/>
  <c r="Q146" i="6" l="1"/>
  <c r="P146" i="6"/>
  <c r="H147" i="6"/>
  <c r="I148" i="6" s="1"/>
  <c r="H148" i="6" s="1"/>
  <c r="Q147" i="6" l="1"/>
  <c r="P147" i="6"/>
  <c r="Q148" i="6"/>
  <c r="I149" i="6"/>
  <c r="P148" i="6"/>
  <c r="H149" i="6" l="1"/>
  <c r="I150" i="6"/>
  <c r="I151" i="6" l="1"/>
  <c r="H150" i="6"/>
  <c r="Q149" i="6"/>
  <c r="P149" i="6"/>
  <c r="P150" i="6" l="1"/>
  <c r="Q150" i="6"/>
  <c r="H151" i="6"/>
  <c r="I152" i="6" s="1"/>
  <c r="H152" i="6" s="1"/>
  <c r="Q151" i="6" l="1"/>
  <c r="P151" i="6"/>
  <c r="Q152" i="6"/>
  <c r="P152" i="6"/>
  <c r="I153" i="6"/>
  <c r="I154" i="6" l="1"/>
  <c r="H153" i="6"/>
  <c r="I155" i="6" l="1"/>
  <c r="H155" i="6" s="1"/>
  <c r="Q155" i="6" s="1"/>
  <c r="H154" i="6"/>
  <c r="Q153" i="6"/>
  <c r="P153" i="6"/>
  <c r="I156" i="6" l="1"/>
  <c r="H156" i="6" s="1"/>
  <c r="Q156" i="6" s="1"/>
  <c r="P155" i="6"/>
  <c r="Q154" i="6"/>
  <c r="P154" i="6"/>
  <c r="P156" i="6" l="1"/>
  <c r="I157" i="6"/>
  <c r="I158" i="6" s="1"/>
  <c r="H158" i="6" s="1"/>
  <c r="Q158" i="6" s="1"/>
  <c r="I159" i="6" l="1"/>
  <c r="H159" i="6" s="1"/>
  <c r="Q159" i="6" s="1"/>
  <c r="H157" i="6"/>
  <c r="Q157" i="6" s="1"/>
  <c r="P158" i="6"/>
  <c r="P157" i="6" l="1"/>
  <c r="P159" i="6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H288" i="6"/>
  <c r="Q288" i="6" s="1"/>
  <c r="I289" i="6" l="1"/>
  <c r="H289" i="6" s="1"/>
  <c r="Q289" i="6" s="1"/>
  <c r="P288" i="6"/>
  <c r="L288" i="6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H297" i="6"/>
  <c r="Q297" i="6" s="1"/>
  <c r="I298" i="6" l="1"/>
  <c r="H298" i="6" s="1"/>
  <c r="Q298" i="6" s="1"/>
  <c r="P296" i="6"/>
  <c r="P297" i="6"/>
  <c r="I299" i="6" l="1"/>
  <c r="H299" i="6" s="1"/>
  <c r="Q299" i="6" s="1"/>
  <c r="P298" i="6"/>
  <c r="I300" i="6" l="1"/>
  <c r="H300" i="6" s="1"/>
  <c r="P299" i="6"/>
  <c r="Q300" i="6" l="1"/>
  <c r="I301" i="6"/>
  <c r="H301" i="6" s="1"/>
  <c r="Q301" i="6" s="1"/>
  <c r="P300" i="6"/>
  <c r="I302" i="6" l="1"/>
  <c r="H302" i="6" s="1"/>
  <c r="Q302" i="6" s="1"/>
  <c r="P301" i="6"/>
  <c r="I303" i="6" l="1"/>
  <c r="H303" i="6" s="1"/>
  <c r="Q303" i="6" s="1"/>
  <c r="P302" i="6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H312" i="6"/>
  <c r="Q312" i="6" s="1"/>
  <c r="I313" i="6" l="1"/>
  <c r="H313" i="6" s="1"/>
  <c r="Q313" i="6" s="1"/>
  <c r="P311" i="6"/>
  <c r="P312" i="6"/>
  <c r="P313" i="6" l="1"/>
  <c r="I314" i="6"/>
  <c r="H314" i="6" s="1"/>
  <c r="Q314" i="6" s="1"/>
  <c r="I315" i="6" l="1"/>
  <c r="H315" i="6" s="1"/>
  <c r="Q315" i="6" s="1"/>
  <c r="P314" i="6"/>
  <c r="I316" i="6" l="1"/>
  <c r="H316" i="6" s="1"/>
  <c r="Q316" i="6" s="1"/>
  <c r="P315" i="6"/>
  <c r="I317" i="6" l="1"/>
  <c r="I318" i="6" s="1"/>
  <c r="P316" i="6"/>
  <c r="H317" i="6" l="1"/>
  <c r="Q317" i="6" s="1"/>
  <c r="H318" i="6"/>
  <c r="Q318" i="6" s="1"/>
  <c r="I319" i="6" l="1"/>
  <c r="H319" i="6" s="1"/>
  <c r="Q319" i="6" s="1"/>
  <c r="P317" i="6"/>
  <c r="P318" i="6"/>
  <c r="P319" i="6" l="1"/>
  <c r="I320" i="6"/>
  <c r="H320" i="6" s="1"/>
  <c r="Q320" i="6" s="1"/>
  <c r="I321" i="6" l="1"/>
  <c r="H321" i="6" s="1"/>
  <c r="P320" i="6"/>
  <c r="Q321" i="6" l="1"/>
  <c r="I322" i="6"/>
  <c r="H322" i="6" s="1"/>
  <c r="Q322" i="6" s="1"/>
  <c r="P321" i="6"/>
  <c r="I323" i="6" l="1"/>
  <c r="I324" i="6" s="1"/>
  <c r="P322" i="6"/>
  <c r="H323" i="6" l="1"/>
  <c r="Q323" i="6" s="1"/>
  <c r="H324" i="6"/>
  <c r="Q324" i="6" s="1"/>
  <c r="I325" i="6" l="1"/>
  <c r="H325" i="6" s="1"/>
  <c r="Q325" i="6" s="1"/>
  <c r="P323" i="6"/>
  <c r="P324" i="6"/>
  <c r="I326" i="6" l="1"/>
  <c r="I327" i="6" s="1"/>
  <c r="P325" i="6"/>
  <c r="H326" i="6" l="1"/>
  <c r="Q326" i="6" s="1"/>
  <c r="H327" i="6"/>
  <c r="Q327" i="6" s="1"/>
  <c r="P326" i="6" l="1"/>
  <c r="P327" i="6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H357" i="6"/>
  <c r="Q357" i="6" s="1"/>
  <c r="I358" i="6" l="1"/>
  <c r="H358" i="6" s="1"/>
  <c r="Q358" i="6" s="1"/>
  <c r="P356" i="6"/>
  <c r="P357" i="6"/>
  <c r="I359" i="6" l="1"/>
  <c r="H359" i="6" s="1"/>
  <c r="Q359" i="6" s="1"/>
  <c r="P358" i="6"/>
  <c r="I360" i="6" l="1"/>
  <c r="H360" i="6" s="1"/>
  <c r="Q360" i="6" s="1"/>
  <c r="P359" i="6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H365" i="6" s="1"/>
  <c r="Q365" i="6" s="1"/>
  <c r="P364" i="6"/>
  <c r="I366" i="6" l="1"/>
  <c r="H366" i="6" s="1"/>
  <c r="Q366" i="6" s="1"/>
  <c r="P365" i="6"/>
  <c r="I367" i="6" l="1"/>
  <c r="H367" i="6" s="1"/>
  <c r="Q367" i="6" s="1"/>
  <c r="P366" i="6"/>
  <c r="I368" i="6" l="1"/>
  <c r="H368" i="6" s="1"/>
  <c r="Q368" i="6" s="1"/>
  <c r="P367" i="6"/>
  <c r="I369" i="6" l="1"/>
  <c r="H369" i="6" s="1"/>
  <c r="P368" i="6"/>
  <c r="Q369" i="6" l="1"/>
  <c r="I370" i="6"/>
  <c r="H370" i="6" s="1"/>
  <c r="Q370" i="6" s="1"/>
  <c r="P369" i="6"/>
  <c r="I371" i="6" l="1"/>
  <c r="H371" i="6" s="1"/>
  <c r="Q371" i="6" s="1"/>
  <c r="P370" i="6"/>
  <c r="I372" i="6" l="1"/>
  <c r="H372" i="6" s="1"/>
  <c r="Q372" i="6" s="1"/>
  <c r="P371" i="6"/>
  <c r="I373" i="6" l="1"/>
  <c r="H373" i="6" s="1"/>
  <c r="Q373" i="6" s="1"/>
  <c r="P372" i="6"/>
  <c r="I374" i="6" l="1"/>
  <c r="H374" i="6" s="1"/>
  <c r="Q374" i="6" s="1"/>
  <c r="P373" i="6"/>
  <c r="I375" i="6" l="1"/>
  <c r="H375" i="6" s="1"/>
  <c r="Q375" i="6" s="1"/>
  <c r="P374" i="6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H384" i="6"/>
  <c r="Q384" i="6" s="1"/>
  <c r="I385" i="6" l="1"/>
  <c r="H385" i="6" s="1"/>
  <c r="Q385" i="6" s="1"/>
  <c r="P384" i="6"/>
  <c r="I386" i="6" l="1"/>
  <c r="I387" i="6" s="1"/>
  <c r="H387" i="6" s="1"/>
  <c r="Q387" i="6" s="1"/>
  <c r="P385" i="6"/>
  <c r="H386" i="6" l="1"/>
  <c r="Q386" i="6" s="1"/>
  <c r="P387" i="6"/>
  <c r="P386" i="6" l="1"/>
</calcChain>
</file>

<file path=xl/sharedStrings.xml><?xml version="1.0" encoding="utf-8"?>
<sst xmlns="http://schemas.openxmlformats.org/spreadsheetml/2006/main" count="4261" uniqueCount="778">
  <si>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</si>
  <si>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</si>
  <si>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</si>
  <si>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</si>
  <si>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</si>
  <si>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</si>
  <si>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</si>
  <si>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</si>
  <si>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</si>
  <si>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</si>
  <si>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</si>
  <si>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</si>
  <si>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</si>
  <si>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</si>
  <si>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</si>
  <si>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</si>
  <si>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</si>
  <si>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</si>
  <si>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</si>
  <si>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</si>
  <si>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</si>
  <si>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ani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</si>
  <si>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</si>
  <si>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</si>
  <si>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</si>
  <si>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</si>
  <si>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</si>
  <si>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</si>
  <si>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</si>
  <si>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</si>
  <si>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</si>
  <si>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</si>
  <si>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</si>
  <si>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</si>
  <si>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</si>
  <si>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</si>
  <si>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</si>
  <si>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</si>
  <si>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</si>
  <si>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</si>
  <si>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</si>
  <si>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</si>
  <si>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</si>
  <si>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</si>
  <si>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</si>
  <si>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</si>
  <si>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</si>
  <si>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</si>
  <si>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</si>
  <si>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</si>
  <si>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</si>
  <si>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</si>
  <si>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</si>
  <si>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</si>
  <si>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</si>
  <si>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</si>
  <si>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</si>
  <si>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</si>
  <si>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</si>
  <si>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</si>
  <si>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</si>
  <si>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</si>
  <si>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</si>
  <si>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</si>
  <si>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</si>
  <si>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</si>
  <si>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</si>
  <si>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</si>
  <si>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</si>
  <si>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</si>
  <si>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</si>
  <si>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</si>
  <si>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</si>
  <si>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</si>
  <si>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</si>
  <si>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</si>
  <si>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</si>
  <si>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</si>
  <si>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</si>
  <si>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</si>
  <si>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</si>
  <si>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</si>
  <si>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</si>
  <si>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</si>
  <si>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</si>
  <si>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</si>
  <si>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</si>
  <si>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</si>
  <si>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</si>
  <si>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</si>
  <si>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</si>
  <si>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</si>
  <si>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</si>
  <si>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</si>
  <si>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</si>
  <si>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</si>
  <si>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</si>
  <si>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</si>
  <si>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</si>
  <si>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</si>
  <si>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</si>
  <si>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</si>
  <si>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</si>
  <si>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</si>
  <si>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</si>
  <si>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</si>
  <si>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</si>
  <si>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</si>
  <si>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</si>
  <si>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</si>
  <si>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</si>
  <si>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</si>
  <si>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</si>
  <si>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</si>
  <si>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</si>
  <si>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</si>
  <si>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</si>
  <si>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</si>
  <si>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</si>
  <si>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</si>
  <si>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</si>
  <si>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</si>
  <si>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</si>
  <si>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</si>
  <si>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</si>
  <si>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</si>
  <si>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</si>
  <si>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</si>
  <si>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</si>
  <si>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</si>
  <si>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</si>
  <si>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</si>
  <si>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</si>
  <si>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</si>
  <si>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</si>
  <si>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</si>
  <si>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</si>
  <si>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</si>
  <si>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</si>
  <si>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</si>
  <si>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</si>
  <si>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</si>
  <si>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</si>
  <si>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</si>
  <si>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</si>
  <si>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</si>
  <si>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</si>
  <si>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</si>
  <si>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</si>
  <si>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</si>
  <si>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</si>
  <si>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</si>
  <si>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</si>
  <si>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</si>
  <si>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</si>
  <si>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</si>
  <si>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</si>
  <si>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</si>
  <si>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</si>
  <si>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</si>
  <si>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</si>
  <si>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</si>
  <si>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</si>
  <si>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</si>
  <si>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</si>
  <si>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</si>
  <si>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</si>
  <si>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</si>
  <si>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</si>
  <si>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</si>
  <si>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</si>
  <si>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</si>
  <si>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</si>
  <si>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</si>
  <si>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</si>
  <si>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</si>
  <si>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</si>
  <si>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</si>
  <si>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</si>
  <si>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</si>
  <si>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</si>
  <si>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</si>
  <si>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</si>
  <si>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</si>
  <si>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</si>
  <si>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</si>
  <si>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</si>
  <si>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</si>
  <si>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</si>
  <si>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</si>
  <si>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</si>
  <si>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</si>
  <si>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</si>
  <si>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</si>
  <si>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</si>
  <si>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</si>
  <si>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</si>
  <si>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</si>
  <si>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</si>
  <si>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</si>
  <si>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</si>
  <si>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</si>
  <si>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</si>
  <si>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</si>
  <si>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</si>
  <si>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</si>
  <si>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</si>
  <si>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</si>
  <si>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</si>
  <si>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</si>
  <si>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</si>
  <si>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</si>
  <si>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</si>
  <si>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</si>
  <si>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</si>
  <si>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</si>
  <si>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</si>
  <si>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</si>
  <si>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</si>
  <si>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</si>
  <si>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</si>
  <si>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</si>
  <si>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</si>
  <si>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</si>
  <si>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</si>
  <si>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</si>
  <si>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</si>
  <si>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</si>
  <si>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</si>
  <si>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</si>
  <si>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</si>
  <si>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</si>
  <si>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</si>
  <si>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</si>
  <si>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</si>
  <si>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</si>
  <si>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</si>
  <si>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</si>
  <si>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</si>
  <si>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</si>
  <si>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</si>
  <si>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</si>
  <si>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</si>
  <si>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</si>
  <si>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</si>
  <si>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</si>
  <si>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</si>
  <si>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</si>
  <si>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</si>
  <si>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</si>
  <si>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</si>
  <si>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</si>
  <si>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</si>
  <si>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</si>
  <si>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</si>
  <si>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</si>
  <si>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</si>
  <si>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</si>
  <si>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</si>
  <si>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</si>
  <si>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</si>
  <si>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</si>
  <si>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</si>
  <si>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</si>
  <si>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</si>
  <si>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</si>
  <si>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</si>
  <si>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</si>
  <si>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</si>
  <si>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</si>
  <si>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</si>
  <si>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</si>
  <si>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</si>
  <si>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</si>
  <si>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</si>
  <si>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</si>
  <si>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</si>
  <si>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</si>
  <si>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</si>
  <si>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</si>
  <si>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</si>
  <si>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</si>
  <si>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</si>
  <si>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</si>
  <si>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</si>
  <si>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</si>
  <si>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</si>
  <si>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</si>
  <si>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</si>
  <si>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</si>
  <si>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</si>
  <si>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</si>
  <si>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</si>
  <si>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</si>
  <si>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</si>
  <si>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</si>
  <si>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</si>
  <si>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</si>
  <si>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</si>
  <si>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</si>
  <si>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</si>
  <si>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</si>
  <si>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</si>
  <si>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</si>
  <si>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</si>
  <si>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</si>
  <si>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</si>
  <si>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</si>
  <si>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</si>
  <si>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</si>
  <si>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</si>
  <si>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</si>
  <si>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</si>
  <si>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</si>
  <si>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</si>
  <si>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</si>
  <si>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</si>
  <si>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</si>
  <si>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</si>
  <si>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</si>
  <si>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</si>
  <si>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</si>
  <si>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</si>
  <si>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</si>
  <si>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</si>
  <si>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</si>
  <si>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</si>
  <si>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</si>
  <si>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</si>
  <si>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</si>
  <si>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</si>
  <si>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</si>
  <si>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</si>
  <si>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</si>
  <si>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</si>
  <si>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</si>
  <si>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</si>
  <si>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</si>
  <si>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</si>
  <si>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</si>
  <si>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</si>
  <si>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</si>
  <si>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</si>
  <si>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</si>
  <si>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</si>
  <si>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</si>
  <si>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</si>
  <si>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</si>
  <si>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</si>
  <si>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</si>
  <si>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</si>
  <si>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</si>
  <si>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</si>
  <si>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</si>
  <si>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</si>
  <si>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</si>
  <si>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</si>
  <si>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</si>
  <si>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</si>
  <si>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</si>
  <si>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</si>
  <si>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</si>
  <si>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</si>
  <si>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</si>
  <si>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</si>
  <si>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</si>
  <si>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</si>
  <si>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</si>
  <si>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</si>
  <si>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</si>
  <si>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</si>
  <si>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</si>
  <si>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</si>
  <si>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</si>
  <si>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</si>
  <si>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</si>
  <si>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</si>
  <si>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</si>
  <si>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</si>
  <si>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</si>
  <si>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</si>
  <si>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</si>
  <si>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</si>
  <si>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</si>
  <si>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</si>
  <si>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</si>
  <si>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</si>
  <si>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</si>
  <si>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</si>
  <si>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</si>
  <si>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</si>
  <si>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</si>
  <si>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</si>
  <si>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</si>
  <si>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</si>
  <si>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</si>
  <si>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</si>
  <si>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</si>
  <si>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</si>
  <si>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</si>
  <si>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</si>
  <si>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</si>
  <si>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</si>
  <si>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</si>
  <si>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</si>
  <si>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</si>
  <si>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</si>
  <si>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</si>
  <si>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</si>
  <si>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</si>
  <si>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</si>
  <si>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</si>
  <si>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</si>
  <si>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</si>
  <si>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</si>
  <si>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</si>
  <si>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</si>
  <si>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</si>
  <si>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</si>
  <si>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</si>
  <si>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</si>
  <si>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</si>
  <si>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</si>
  <si>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</si>
  <si>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</si>
  <si>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</si>
  <si>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</si>
  <si>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</si>
  <si>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</si>
  <si>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</si>
  <si>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</si>
  <si>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</si>
  <si>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</si>
  <si>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</si>
  <si>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</si>
  <si>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</si>
  <si>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</si>
  <si>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</si>
  <si>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</si>
  <si>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</si>
  <si>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</si>
  <si>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</si>
  <si>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</si>
  <si>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</si>
  <si>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</si>
  <si>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</si>
  <si>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</si>
  <si>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</si>
  <si>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</si>
  <si>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</si>
  <si>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</si>
  <si>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</si>
  <si>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</si>
  <si>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</si>
  <si>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</si>
  <si>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</si>
  <si>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</si>
  <si>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</si>
  <si>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</si>
  <si>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</si>
  <si>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</si>
  <si>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</si>
  <si>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</si>
  <si>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</si>
  <si>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</si>
  <si>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</si>
  <si>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</si>
  <si>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</si>
  <si>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</si>
  <si>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</si>
  <si>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</si>
  <si>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</si>
  <si>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</si>
  <si>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</si>
  <si>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</si>
  <si>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</si>
  <si>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</si>
  <si>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</si>
  <si>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</si>
  <si>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</si>
  <si>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</si>
  <si>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</si>
  <si>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</si>
  <si>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</si>
  <si>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</si>
  <si>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</si>
  <si>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</si>
  <si>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</si>
  <si>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</si>
  <si>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</si>
  <si>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</si>
  <si>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</si>
  <si>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</si>
  <si>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</si>
  <si>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</si>
  <si>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</si>
  <si>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</si>
  <si>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</si>
  <si>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</si>
  <si>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</si>
  <si>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</si>
  <si>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</si>
  <si>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</si>
  <si>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</si>
  <si>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</si>
  <si>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</si>
  <si>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</si>
  <si>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</si>
  <si>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</si>
  <si>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</si>
  <si>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</si>
  <si>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</si>
  <si>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</si>
  <si>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</si>
  <si>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</si>
  <si>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</si>
  <si>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</si>
  <si>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</si>
  <si>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</si>
  <si>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</si>
  <si>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</si>
  <si>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</si>
  <si>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</si>
  <si>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</si>
  <si>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</si>
  <si>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</si>
  <si>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</si>
  <si>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</si>
  <si>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</si>
  <si>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</si>
  <si>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</si>
  <si>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</si>
  <si>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</si>
  <si>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</si>
  <si>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</si>
  <si>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</si>
  <si>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</si>
  <si>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</si>
  <si>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</si>
  <si>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</si>
  <si>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</si>
  <si>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</si>
  <si>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</si>
  <si>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</si>
  <si>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</si>
  <si>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</si>
  <si>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</si>
  <si>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</si>
  <si>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</si>
  <si>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</si>
  <si>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</si>
  <si>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</si>
  <si>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</si>
  <si>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</si>
  <si>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</si>
  <si>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</si>
  <si>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</si>
  <si>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</si>
  <si>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</si>
  <si>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</si>
  <si>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</si>
  <si>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</si>
  <si>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</si>
  <si>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</si>
  <si>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</si>
  <si>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</si>
  <si>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</si>
  <si>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</si>
  <si>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</si>
  <si>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</si>
  <si>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</si>
  <si>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</si>
  <si>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</si>
  <si>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</si>
  <si>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</si>
  <si>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</si>
  <si>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</si>
  <si>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</si>
  <si>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</si>
  <si>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</si>
  <si>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</si>
  <si>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</si>
  <si>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</si>
  <si>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</si>
  <si>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</si>
  <si>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</si>
  <si>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</si>
  <si>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</si>
  <si>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</si>
  <si>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</si>
  <si>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</si>
  <si>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</si>
  <si>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</si>
  <si>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</si>
  <si>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</si>
  <si>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</si>
  <si>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</si>
  <si>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</si>
  <si>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</si>
  <si>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</si>
  <si>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</si>
  <si>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</si>
  <si>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</si>
  <si>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</si>
  <si>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</si>
  <si>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</si>
  <si>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</si>
  <si>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</si>
  <si>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</si>
  <si>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</si>
  <si>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</si>
  <si>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</si>
  <si>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</si>
  <si>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</si>
  <si>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</si>
  <si>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</si>
  <si>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</si>
  <si>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</si>
  <si>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</si>
  <si>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</si>
  <si>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</si>
  <si>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</si>
  <si>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</si>
  <si>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</si>
  <si>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</si>
  <si>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</si>
  <si>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</si>
  <si>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</si>
  <si>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</si>
  <si>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</si>
  <si>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</si>
  <si>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</si>
  <si>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</si>
  <si>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</si>
  <si>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</si>
  <si>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</si>
  <si>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</si>
  <si>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</si>
  <si>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</si>
  <si>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</si>
  <si>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</si>
  <si>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</si>
  <si>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</si>
  <si>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</si>
  <si>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</si>
  <si>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</si>
  <si>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</si>
  <si>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</si>
  <si>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</si>
  <si>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</si>
  <si>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</si>
  <si>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</si>
  <si>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</si>
  <si>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</si>
  <si>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</si>
  <si>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</si>
  <si>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</si>
  <si>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</si>
  <si>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</si>
  <si>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</si>
  <si>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</si>
  <si>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</si>
  <si>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</si>
  <si>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</si>
  <si>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</si>
  <si>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</si>
  <si>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</si>
  <si>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</si>
  <si>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</si>
  <si>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</si>
  <si>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</si>
  <si>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</si>
  <si>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</si>
  <si>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</si>
  <si>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</si>
  <si>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</si>
  <si>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</si>
  <si>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</si>
  <si>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</si>
  <si>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</si>
  <si>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</si>
  <si>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</si>
  <si>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</si>
  <si>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</si>
  <si>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</si>
  <si>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</si>
  <si>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</si>
  <si>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</si>
  <si>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</si>
  <si>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</si>
  <si>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</si>
  <si>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</si>
  <si>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</si>
  <si>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</si>
  <si>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</si>
  <si>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</si>
  <si>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</si>
  <si>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</si>
  <si>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</si>
  <si>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</si>
  <si>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</si>
  <si>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</si>
  <si>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</si>
  <si>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</si>
  <si>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</si>
  <si>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</si>
  <si>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</si>
  <si>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</si>
  <si>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</si>
  <si>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</si>
  <si>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</si>
  <si>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</si>
  <si>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</si>
  <si>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</si>
  <si>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</si>
  <si>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</si>
  <si>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</si>
  <si>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</si>
  <si>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</si>
  <si>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</si>
  <si>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</si>
  <si>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</si>
  <si>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</si>
  <si>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</si>
  <si>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</si>
  <si>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</si>
  <si>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</si>
  <si>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</si>
  <si>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</si>
  <si>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</si>
  <si>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</si>
  <si>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</si>
  <si>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</si>
  <si>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</si>
  <si>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</si>
  <si>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</si>
  <si>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</si>
  <si>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</si>
  <si>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</si>
  <si>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</si>
  <si>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</si>
  <si>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</si>
  <si>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</si>
  <si>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</si>
  <si>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</si>
  <si>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</si>
  <si>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</si>
  <si>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</si>
  <si>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</si>
  <si>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</si>
  <si>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</si>
  <si>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</si>
  <si>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</si>
  <si>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</si>
  <si>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</si>
  <si>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</si>
  <si>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</si>
  <si>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</si>
  <si>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</si>
  <si>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</si>
  <si>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</si>
  <si>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</si>
  <si>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</si>
  <si>
    <t>y</t>
    <phoneticPr fontId="1" type="noConversion"/>
  </si>
  <si>
    <t>placeForBuildCase</t>
    <phoneticPr fontId="1" type="noConversion"/>
  </si>
  <si>
    <t>buildPoint</t>
  </si>
  <si>
    <t>MCCase</t>
    <phoneticPr fontId="1" type="noConversion"/>
  </si>
  <si>
    <t>pointerCase</t>
  </si>
  <si>
    <t>fireAnima</t>
  </si>
  <si>
    <t>eyesAnima</t>
  </si>
  <si>
    <t>btnUpgradeMenuLOCKCase</t>
    <phoneticPr fontId="1" type="noConversion"/>
  </si>
  <si>
    <t>MCText</t>
    <phoneticPr fontId="1" type="noConversion"/>
  </si>
  <si>
    <t>castAirCase</t>
    <phoneticPr fontId="1" type="noConversion"/>
  </si>
  <si>
    <t>castGolemCase</t>
    <phoneticPr fontId="1" type="noConversion"/>
  </si>
  <si>
    <t>buyGetAll</t>
  </si>
  <si>
    <t>mask1</t>
    <phoneticPr fontId="1" type="noConversion"/>
  </si>
  <si>
    <t>mask2</t>
    <phoneticPr fontId="1" type="noConversion"/>
  </si>
  <si>
    <t>MovieClipSub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</si>
</sst>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0" borderId="5" xfId="0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4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4"/>
  <sheetViews>
    <sheetView workbookViewId="0">
      <pane xSplit="2" ySplit="1" topLeftCell="O32" activePane="bottomRight" state="frozen"/>
      <selection pane="topRight" activeCell="C1" sqref="C1"/>
      <selection pane="bottomLeft" activeCell="A2" sqref="A2"/>
      <selection pane="bottomRight" activeCell="B50" sqref="B50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55</v>
      </c>
      <c r="C1" s="2" t="s">
        <v>630</v>
      </c>
      <c r="D1" s="2" t="s">
        <v>5</v>
      </c>
      <c r="E1" s="2" t="s">
        <v>136</v>
      </c>
      <c r="F1" s="2" t="s">
        <v>135</v>
      </c>
      <c r="G1" s="25" t="s">
        <v>109</v>
      </c>
      <c r="H1" s="25" t="s">
        <v>617</v>
      </c>
      <c r="I1" s="25" t="s">
        <v>597</v>
      </c>
      <c r="J1" s="25" t="s">
        <v>618</v>
      </c>
      <c r="K1" s="25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x14ac:dyDescent="0.25">
      <c r="A2" s="1"/>
      <c r="B2" s="21" t="s">
        <v>754</v>
      </c>
      <c r="C2" s="1">
        <f t="shared" ref="C2:C23" ca="1" si="0">indent(B2)</f>
        <v>0</v>
      </c>
      <c r="D2" s="1" t="s">
        <v>7</v>
      </c>
      <c r="E2" s="11" t="s">
        <v>134</v>
      </c>
      <c r="F2" s="11"/>
      <c r="G2" s="30" t="s">
        <v>595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 t="shared" ref="K2:K23" si="3">B2</f>
        <v>UnitBase_mc</v>
      </c>
      <c r="L2" s="1"/>
      <c r="M2" s="1"/>
      <c r="N2" s="1"/>
      <c r="O2" s="1"/>
      <c r="P2" s="14" t="str">
        <f t="shared" ref="P2:P23" ca="1" si="4">IF(C2&gt;0,G2 &amp; " * "&amp;H2 &amp;";","")</f>
        <v/>
      </c>
      <c r="Q2" s="14" t="str">
        <f t="shared" ref="Q2:Q23" ca="1" si="5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UnitBase_mc::UnitBase_mc:MovieClip("unit","UnitBase_mc","UnitBase_mc"{)</v>
      </c>
    </row>
    <row r="3" spans="1:17" x14ac:dyDescent="0.25">
      <c r="A3" s="1"/>
      <c r="B3" s="3" t="s">
        <v>739</v>
      </c>
      <c r="C3" s="1">
        <f t="shared" ca="1" si="0"/>
        <v>1</v>
      </c>
      <c r="D3" s="1" t="s">
        <v>7</v>
      </c>
      <c r="E3" s="11" t="s">
        <v>134</v>
      </c>
      <c r="F3" s="11"/>
      <c r="G3" s="30" t="s">
        <v>595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si="3"/>
        <v>levinDeath</v>
      </c>
      <c r="L3" s="1"/>
      <c r="M3" s="1"/>
      <c r="N3" s="1"/>
      <c r="O3" s="1"/>
      <c r="P3" s="14" t="str">
        <f t="shared" ca="1" si="4"/>
        <v>MovieClip * levinDeath;</v>
      </c>
      <c r="Q3" s="14" t="str">
        <f t="shared" ca="1" si="5"/>
        <v>levinDeath= this-&gt;createMovieClip("levinDeath");</v>
      </c>
    </row>
    <row r="4" spans="1:17" x14ac:dyDescent="0.25">
      <c r="A4" s="1"/>
      <c r="B4" s="3" t="s">
        <v>742</v>
      </c>
      <c r="C4" s="1">
        <f t="shared" ref="C4:C22" ca="1" si="6">indent(B4)</f>
        <v>1</v>
      </c>
      <c r="D4" s="1" t="s">
        <v>7</v>
      </c>
      <c r="E4" s="11" t="s">
        <v>134</v>
      </c>
      <c r="F4" s="11"/>
      <c r="G4" s="30" t="s">
        <v>595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/>
      <c r="M4" s="1"/>
      <c r="N4" s="1"/>
      <c r="O4" s="1"/>
      <c r="P4" s="14" t="str">
        <f t="shared" ref="P4:P22" ca="1" si="10">IF(C4&gt;0,G4 &amp; " * "&amp;H4 &amp;";","")</f>
        <v>MovieClip * stoneDeath;</v>
      </c>
      <c r="Q4" s="14" t="str">
        <f t="shared" ref="Q4:Q22" ca="1" si="11">IF(C4&gt;0,H4&amp;"= "&amp;I4&amp;"-&gt;"&amp;J4&amp;"("""&amp;K4&amp;""")"&amp;";",IF(RIGHT(B4,3)&lt;&gt;"_mc",G4&amp;"("""&amp;D4&amp;""","""&amp;B4&amp;""","""&amp;K4&amp;"""{)",B4&amp;"::"&amp;B4&amp;":"&amp;G4&amp;"("""&amp;D4&amp;""","""&amp;B4&amp;""","""&amp;K4&amp;"""{)"))</f>
        <v>stoneDeath= this-&gt;createMovieClip("stoneDeath");</v>
      </c>
    </row>
    <row r="5" spans="1:17" x14ac:dyDescent="0.25">
      <c r="A5" s="1"/>
      <c r="B5" s="3" t="s">
        <v>741</v>
      </c>
      <c r="C5" s="1">
        <f t="shared" ca="1" si="6"/>
        <v>1</v>
      </c>
      <c r="D5" s="1" t="s">
        <v>7</v>
      </c>
      <c r="E5" s="11" t="s">
        <v>134</v>
      </c>
      <c r="F5" s="11"/>
      <c r="G5" s="30" t="s">
        <v>595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/>
      <c r="M5" s="1"/>
      <c r="N5" s="1"/>
      <c r="O5" s="1"/>
      <c r="P5" s="14" t="str">
        <f t="shared" ca="1" si="10"/>
        <v>MovieClip * iceDeath;</v>
      </c>
      <c r="Q5" s="14" t="str">
        <f t="shared" ca="1" si="11"/>
        <v>iceDeath= this-&gt;createMovieClip("iceDeath");</v>
      </c>
    </row>
    <row r="6" spans="1:17" x14ac:dyDescent="0.25">
      <c r="A6" s="1"/>
      <c r="B6" s="3" t="s">
        <v>740</v>
      </c>
      <c r="C6" s="1">
        <f t="shared" ca="1" si="6"/>
        <v>1</v>
      </c>
      <c r="D6" s="1" t="s">
        <v>7</v>
      </c>
      <c r="E6" s="11" t="s">
        <v>134</v>
      </c>
      <c r="F6" s="11"/>
      <c r="G6" s="30" t="s">
        <v>595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/>
      <c r="M6" s="1"/>
      <c r="N6" s="1"/>
      <c r="O6" s="1"/>
      <c r="P6" s="14" t="str">
        <f t="shared" ca="1" si="10"/>
        <v>MovieClip * buffHP;</v>
      </c>
      <c r="Q6" s="14" t="str">
        <f t="shared" ca="1" si="11"/>
        <v>buffHP= this-&gt;createMovieClip("buffHP");</v>
      </c>
    </row>
    <row r="7" spans="1:17" x14ac:dyDescent="0.25">
      <c r="A7" s="1"/>
      <c r="B7" s="3" t="s">
        <v>743</v>
      </c>
      <c r="C7" s="1">
        <f t="shared" ca="1" si="6"/>
        <v>1</v>
      </c>
      <c r="D7" s="1" t="s">
        <v>7</v>
      </c>
      <c r="E7" s="11" t="s">
        <v>134</v>
      </c>
      <c r="F7" s="11"/>
      <c r="G7" s="30" t="s">
        <v>595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/>
      <c r="M7" s="1"/>
      <c r="N7" s="1"/>
      <c r="O7" s="1"/>
      <c r="P7" s="14" t="str">
        <f t="shared" ca="1" si="10"/>
        <v>MovieClip * airShock;</v>
      </c>
      <c r="Q7" s="14" t="str">
        <f t="shared" ca="1" si="11"/>
        <v>airShock= this-&gt;createMovieClip("airShock");</v>
      </c>
    </row>
    <row r="8" spans="1:17" x14ac:dyDescent="0.25">
      <c r="A8" s="1"/>
      <c r="B8" s="3" t="s">
        <v>744</v>
      </c>
      <c r="C8" s="1">
        <f t="shared" ca="1" si="6"/>
        <v>1</v>
      </c>
      <c r="D8" s="1" t="s">
        <v>7</v>
      </c>
      <c r="E8" s="11" t="s">
        <v>134</v>
      </c>
      <c r="F8" s="11"/>
      <c r="G8" s="30" t="s">
        <v>595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/>
      <c r="M8" s="1"/>
      <c r="N8" s="1"/>
      <c r="O8" s="1"/>
      <c r="P8" s="14" t="str">
        <f t="shared" ca="1" si="10"/>
        <v>MovieClip * buffSpeed;</v>
      </c>
      <c r="Q8" s="14" t="str">
        <f t="shared" ca="1" si="11"/>
        <v>buffSpeed= this-&gt;createMovieClip("buffSpeed");</v>
      </c>
    </row>
    <row r="9" spans="1:17" x14ac:dyDescent="0.25">
      <c r="A9" s="1"/>
      <c r="B9" s="3" t="s">
        <v>22</v>
      </c>
      <c r="C9" s="1">
        <f t="shared" ca="1" si="6"/>
        <v>1</v>
      </c>
      <c r="D9" s="1" t="s">
        <v>7</v>
      </c>
      <c r="E9" s="11" t="s">
        <v>134</v>
      </c>
      <c r="F9" s="11"/>
      <c r="G9" s="30" t="s">
        <v>595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/>
      <c r="M9" s="1"/>
      <c r="N9" s="1"/>
      <c r="O9" s="1"/>
      <c r="P9" s="14" t="str">
        <f t="shared" ca="1" si="10"/>
        <v>MovieClip * dust1;</v>
      </c>
      <c r="Q9" s="14" t="str">
        <f t="shared" ca="1" si="11"/>
        <v>dust1= this-&gt;createMovieClip("dust1");</v>
      </c>
    </row>
    <row r="10" spans="1:17" x14ac:dyDescent="0.25">
      <c r="A10" s="1"/>
      <c r="B10" s="3" t="s">
        <v>23</v>
      </c>
      <c r="C10" s="1">
        <f t="shared" ca="1" si="6"/>
        <v>1</v>
      </c>
      <c r="D10" s="1" t="s">
        <v>7</v>
      </c>
      <c r="E10" s="11" t="s">
        <v>134</v>
      </c>
      <c r="F10" s="11"/>
      <c r="G10" s="30" t="s">
        <v>595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/>
      <c r="M10" s="1"/>
      <c r="N10" s="1"/>
      <c r="O10" s="1"/>
      <c r="P10" s="14" t="str">
        <f t="shared" ca="1" si="10"/>
        <v>MovieClip * dust2;</v>
      </c>
      <c r="Q10" s="14" t="str">
        <f t="shared" ca="1" si="11"/>
        <v>dust2= this-&gt;createMovieClip("dust2");</v>
      </c>
    </row>
    <row r="11" spans="1:17" x14ac:dyDescent="0.25">
      <c r="A11" s="1"/>
      <c r="B11" s="3" t="s">
        <v>24</v>
      </c>
      <c r="C11" s="1">
        <f t="shared" ca="1" si="6"/>
        <v>1</v>
      </c>
      <c r="D11" s="1" t="s">
        <v>7</v>
      </c>
      <c r="E11" s="11" t="s">
        <v>134</v>
      </c>
      <c r="F11" s="11"/>
      <c r="G11" s="30" t="s">
        <v>595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/>
      <c r="M11" s="1"/>
      <c r="N11" s="1"/>
      <c r="O11" s="1"/>
      <c r="P11" s="14" t="str">
        <f t="shared" ca="1" si="10"/>
        <v>MovieClip * dust3;</v>
      </c>
      <c r="Q11" s="14" t="str">
        <f t="shared" ca="1" si="11"/>
        <v>dust3= this-&gt;createMovieClip("dust3");</v>
      </c>
    </row>
    <row r="12" spans="1:17" x14ac:dyDescent="0.25">
      <c r="A12" s="1"/>
      <c r="B12" s="3" t="s">
        <v>745</v>
      </c>
      <c r="C12" s="1">
        <f t="shared" ca="1" si="6"/>
        <v>1</v>
      </c>
      <c r="D12" s="1" t="s">
        <v>7</v>
      </c>
      <c r="E12" s="11" t="s">
        <v>134</v>
      </c>
      <c r="F12" s="11"/>
      <c r="G12" s="30" t="s">
        <v>595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10"/>
        <v>MovieClip * fireAttack;</v>
      </c>
      <c r="Q12" s="14" t="str">
        <f t="shared" ca="1" si="11"/>
        <v>fireAttack= this-&gt;createMovieClip("fireAttack");</v>
      </c>
    </row>
    <row r="13" spans="1:17" x14ac:dyDescent="0.25">
      <c r="A13" s="1"/>
      <c r="B13" s="3" t="s">
        <v>746</v>
      </c>
      <c r="C13" s="1">
        <f t="shared" ca="1" si="6"/>
        <v>1</v>
      </c>
      <c r="D13" s="1" t="s">
        <v>7</v>
      </c>
      <c r="E13" s="11" t="s">
        <v>134</v>
      </c>
      <c r="F13" s="11"/>
      <c r="G13" s="30" t="s">
        <v>595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/>
      <c r="M13" s="1"/>
      <c r="N13" s="1"/>
      <c r="O13" s="1"/>
      <c r="P13" s="14" t="str">
        <f t="shared" ca="1" si="10"/>
        <v>MovieClip * iceAttack;</v>
      </c>
      <c r="Q13" s="14" t="str">
        <f t="shared" ca="1" si="11"/>
        <v>iceAttack= this-&gt;createMovieClip("iceAttack");</v>
      </c>
    </row>
    <row r="14" spans="1:17" x14ac:dyDescent="0.25">
      <c r="A14" s="1"/>
      <c r="B14" s="3" t="s">
        <v>747</v>
      </c>
      <c r="C14" s="1">
        <f t="shared" ca="1" si="6"/>
        <v>1</v>
      </c>
      <c r="D14" s="1" t="s">
        <v>7</v>
      </c>
      <c r="E14" s="11" t="s">
        <v>134</v>
      </c>
      <c r="F14" s="11"/>
      <c r="G14" s="30" t="s">
        <v>595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/>
      <c r="M14" s="1"/>
      <c r="N14" s="1"/>
      <c r="O14" s="1"/>
      <c r="P14" s="14" t="str">
        <f t="shared" ca="1" si="10"/>
        <v>MovieClip * levinAttack;</v>
      </c>
      <c r="Q14" s="14" t="str">
        <f t="shared" ca="1" si="11"/>
        <v>levinAttack= this-&gt;createMovieClip("levinAttack");</v>
      </c>
    </row>
    <row r="15" spans="1:17" x14ac:dyDescent="0.25">
      <c r="A15" s="1"/>
      <c r="B15" s="3" t="s">
        <v>748</v>
      </c>
      <c r="C15" s="1">
        <f t="shared" ca="1" si="6"/>
        <v>1</v>
      </c>
      <c r="D15" s="1" t="s">
        <v>7</v>
      </c>
      <c r="E15" s="11" t="s">
        <v>134</v>
      </c>
      <c r="F15" s="11"/>
      <c r="G15" s="30" t="s">
        <v>595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/>
      <c r="M15" s="1"/>
      <c r="N15" s="1"/>
      <c r="O15" s="1"/>
      <c r="P15" s="14" t="str">
        <f t="shared" ca="1" si="10"/>
        <v>MovieClip * iceFreez;</v>
      </c>
      <c r="Q15" s="14" t="str">
        <f t="shared" ca="1" si="11"/>
        <v>iceFreez= this-&gt;createMovieClip("iceFreez");</v>
      </c>
    </row>
    <row r="16" spans="1:17" x14ac:dyDescent="0.25">
      <c r="A16" s="1"/>
      <c r="B16" s="3" t="s">
        <v>749</v>
      </c>
      <c r="C16" s="1">
        <f t="shared" ca="1" si="6"/>
        <v>1</v>
      </c>
      <c r="D16" s="1" t="s">
        <v>7</v>
      </c>
      <c r="E16" s="11" t="s">
        <v>134</v>
      </c>
      <c r="F16" s="11"/>
      <c r="G16" s="30" t="s">
        <v>595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10"/>
        <v>MovieClip * fireEffect;</v>
      </c>
      <c r="Q16" s="14" t="str">
        <f t="shared" ca="1" si="11"/>
        <v>fireEffect= this-&gt;createMovieClip("fireEffect");</v>
      </c>
    </row>
    <row r="17" spans="1:17" x14ac:dyDescent="0.25">
      <c r="A17" s="1"/>
      <c r="B17" s="3" t="s">
        <v>750</v>
      </c>
      <c r="C17" s="1">
        <f t="shared" ca="1" si="6"/>
        <v>1</v>
      </c>
      <c r="D17" s="1" t="s">
        <v>7</v>
      </c>
      <c r="E17" s="11" t="s">
        <v>134</v>
      </c>
      <c r="F17" s="11"/>
      <c r="G17" s="30" t="s">
        <v>595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10"/>
        <v>MovieClip * iceEffect;</v>
      </c>
      <c r="Q17" s="14" t="str">
        <f t="shared" ca="1" si="11"/>
        <v>iceEffect= this-&gt;createMovieClip("iceEffect");</v>
      </c>
    </row>
    <row r="18" spans="1:17" x14ac:dyDescent="0.25">
      <c r="A18" s="1"/>
      <c r="B18" s="3" t="s">
        <v>751</v>
      </c>
      <c r="C18" s="1">
        <f t="shared" ca="1" si="6"/>
        <v>1</v>
      </c>
      <c r="D18" s="1" t="s">
        <v>7</v>
      </c>
      <c r="E18" s="11" t="s">
        <v>134</v>
      </c>
      <c r="F18" s="11"/>
      <c r="G18" s="30" t="s">
        <v>595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/>
      <c r="M18" s="1"/>
      <c r="N18" s="1"/>
      <c r="O18" s="1"/>
      <c r="P18" s="14" t="str">
        <f t="shared" ca="1" si="10"/>
        <v>MovieClip * armor;</v>
      </c>
      <c r="Q18" s="14" t="str">
        <f t="shared" ca="1" si="11"/>
        <v>armor= this-&gt;createMovieClip("armor");</v>
      </c>
    </row>
    <row r="19" spans="1:17" x14ac:dyDescent="0.25">
      <c r="A19" s="1"/>
      <c r="B19" s="3" t="s">
        <v>752</v>
      </c>
      <c r="C19" s="1">
        <f t="shared" ca="1" si="6"/>
        <v>1</v>
      </c>
      <c r="D19" s="1" t="s">
        <v>7</v>
      </c>
      <c r="E19" s="11" t="s">
        <v>134</v>
      </c>
      <c r="F19" s="11"/>
      <c r="G19" s="30" t="s">
        <v>595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/>
      <c r="M19" s="1"/>
      <c r="N19" s="1"/>
      <c r="O19" s="1"/>
      <c r="P19" s="14" t="str">
        <f t="shared" ca="1" si="10"/>
        <v>MovieClip * healthBar;</v>
      </c>
      <c r="Q19" s="14" t="str">
        <f t="shared" ca="1" si="11"/>
        <v>healthBar= this-&gt;createMovieClip("healthBar");</v>
      </c>
    </row>
    <row r="20" spans="1:17" x14ac:dyDescent="0.25">
      <c r="A20" s="1"/>
      <c r="B20" s="3" t="s">
        <v>372</v>
      </c>
      <c r="C20" s="1">
        <f t="shared" ca="1" si="6"/>
        <v>1</v>
      </c>
      <c r="D20" s="1" t="s">
        <v>7</v>
      </c>
      <c r="E20" s="11" t="s">
        <v>134</v>
      </c>
      <c r="F20" s="11"/>
      <c r="G20" s="30" t="s">
        <v>595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/>
      <c r="M20" s="1"/>
      <c r="N20" s="1"/>
      <c r="O20" s="1"/>
      <c r="P20" s="14" t="str">
        <f t="shared" ca="1" si="10"/>
        <v>MovieClip * shadow;</v>
      </c>
      <c r="Q20" s="14" t="str">
        <f t="shared" ca="1" si="11"/>
        <v>shadow= this-&gt;createMovieClip("shadow");</v>
      </c>
    </row>
    <row r="21" spans="1:17" x14ac:dyDescent="0.25">
      <c r="A21" s="1"/>
      <c r="B21" s="3" t="s">
        <v>430</v>
      </c>
      <c r="C21" s="1">
        <f t="shared" ca="1" si="6"/>
        <v>1</v>
      </c>
      <c r="D21" s="1" t="s">
        <v>7</v>
      </c>
      <c r="E21" s="11" t="s">
        <v>134</v>
      </c>
      <c r="F21" s="11"/>
      <c r="G21" s="30" t="s">
        <v>595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/>
      <c r="M21" s="1"/>
      <c r="N21" s="1"/>
      <c r="O21" s="1"/>
      <c r="P21" s="14" t="str">
        <f t="shared" ca="1" si="10"/>
        <v>MovieClip * selectUnit;</v>
      </c>
      <c r="Q21" s="14" t="str">
        <f t="shared" ca="1" si="11"/>
        <v>selectUnit= this-&gt;createMovieClip("selectUnit");</v>
      </c>
    </row>
    <row r="22" spans="1:17" x14ac:dyDescent="0.25">
      <c r="A22" s="1"/>
      <c r="B22" s="3" t="s">
        <v>25</v>
      </c>
      <c r="C22" s="1">
        <f t="shared" ca="1" si="6"/>
        <v>1</v>
      </c>
      <c r="D22" s="1" t="s">
        <v>7</v>
      </c>
      <c r="E22" s="11" t="s">
        <v>134</v>
      </c>
      <c r="F22" s="11"/>
      <c r="G22" s="30" t="s">
        <v>595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/>
      <c r="M22" s="1"/>
      <c r="N22" s="1"/>
      <c r="O22" s="1"/>
      <c r="P22" s="14" t="str">
        <f t="shared" ca="1" si="10"/>
        <v>MovieClip * dust4;</v>
      </c>
      <c r="Q22" s="14" t="str">
        <f t="shared" ca="1" si="11"/>
        <v>dust4= this-&gt;createMovieClip("dust4");</v>
      </c>
    </row>
    <row r="23" spans="1:17" x14ac:dyDescent="0.25">
      <c r="A23" s="1" t="s">
        <v>17</v>
      </c>
      <c r="B23" s="21" t="s">
        <v>753</v>
      </c>
      <c r="C23" s="1">
        <f t="shared" ca="1" si="0"/>
        <v>0</v>
      </c>
      <c r="D23" s="1" t="s">
        <v>7</v>
      </c>
      <c r="E23" s="11" t="s">
        <v>134</v>
      </c>
      <c r="F23" s="11"/>
      <c r="G23" s="30" t="s">
        <v>595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3"/>
        <v>Unit1_1_mc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Unit1_1_mc::Unit1_1_mc:MovieClip("unit","Unit1_1_mc","Unit1_1_mc"{)</v>
      </c>
    </row>
    <row r="24" spans="1:17" x14ac:dyDescent="0.25">
      <c r="B24" s="3" t="s">
        <v>739</v>
      </c>
      <c r="C24" s="1">
        <f t="shared" ref="C24:C63" ca="1" si="12">indent(B24)</f>
        <v>1</v>
      </c>
      <c r="D24" s="1" t="s">
        <v>7</v>
      </c>
      <c r="E24" s="11" t="s">
        <v>134</v>
      </c>
      <c r="F24" s="11"/>
      <c r="G24" s="30" t="s">
        <v>595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738</v>
      </c>
      <c r="L24" s="1" t="str">
        <f>B24</f>
        <v>levinDeath</v>
      </c>
      <c r="M24" s="1"/>
      <c r="N24" s="1"/>
      <c r="O24" s="1"/>
      <c r="P24" s="14" t="str">
        <f ca="1">IF(C24&gt;0,G24 &amp; " * "&amp;H24 &amp;";","")</f>
        <v>MovieClip * levinDeath;</v>
      </c>
      <c r="Q24" s="14" t="str">
        <f ca="1">IF(C24&gt;0,H24&amp;"= "&amp;I24&amp;"-&gt;"&amp;J24&amp;"("""&amp;L24&amp;""",""unit/"","""&amp;L24&amp;""","""&amp;K24&amp;""")"&amp;";",IF(RIGHT(B24,3)&lt;&gt;"_mc",G24&amp;"("""&amp;D24&amp;""","""&amp;B24&amp;""","""&amp;K24&amp;"""{)",B24&amp;"::"&amp;B24&amp;":"&amp;G24&amp;"("""&amp;D24&amp;""","""&amp;B24&amp;""","""&amp;K24&amp;"""{)"))</f>
        <v>levinDeath= this-&gt;createMovieClip("levinDeath","unit/","levinDeath","UnitBase_mc");</v>
      </c>
    </row>
    <row r="25" spans="1:17" x14ac:dyDescent="0.25">
      <c r="A25" s="1"/>
      <c r="B25" s="3" t="s">
        <v>742</v>
      </c>
      <c r="C25" s="1">
        <f t="shared" ca="1" si="12"/>
        <v>1</v>
      </c>
      <c r="D25" s="1" t="s">
        <v>7</v>
      </c>
      <c r="E25" s="11" t="s">
        <v>134</v>
      </c>
      <c r="F25" s="11"/>
      <c r="G25" s="30" t="s">
        <v>762</v>
      </c>
      <c r="H25" s="1" t="str">
        <f t="shared" ref="H25:H30" ca="1" si="13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738</v>
      </c>
      <c r="L25" s="1" t="str">
        <f t="shared" ref="L25:L42" si="14">B25</f>
        <v>stoneDeath</v>
      </c>
      <c r="M25" s="1"/>
      <c r="N25" s="1"/>
      <c r="O25" s="1"/>
      <c r="P25" s="14" t="str">
        <f t="shared" ref="P25:P84" ca="1" si="15">IF(C25&gt;0,G25 &amp; " * "&amp;H25 &amp;";","")</f>
        <v>MovieClip * stoneDeath;</v>
      </c>
      <c r="Q25" s="14" t="str">
        <f t="shared" ref="Q25:Q43" ca="1" si="16">IF(C25&gt;0,H25&amp;"= "&amp;I25&amp;"-&gt;"&amp;J25&amp;"("""&amp;L25&amp;""",""unit/"","""&amp;L25&amp;""","""&amp;K25&amp;""")"&amp;";",IF(RIGHT(B25,3)&lt;&gt;"_mc",G25&amp;"("""&amp;D25&amp;""","""&amp;B25&amp;""","""&amp;K25&amp;"""{)",B25&amp;"::"&amp;B25&amp;":"&amp;G25&amp;"("""&amp;D25&amp;""","""&amp;B25&amp;""","""&amp;K25&amp;"""{)"))</f>
        <v>stoneDeath= this-&gt;createMovieClip("stoneDeath","unit/","stoneDeath","UnitBase_mc");</v>
      </c>
    </row>
    <row r="26" spans="1:17" x14ac:dyDescent="0.25">
      <c r="A26" s="1"/>
      <c r="B26" s="3" t="s">
        <v>741</v>
      </c>
      <c r="C26" s="1">
        <f ca="1">indent(B26)</f>
        <v>1</v>
      </c>
      <c r="D26" s="1" t="s">
        <v>7</v>
      </c>
      <c r="E26" s="11" t="s">
        <v>134</v>
      </c>
      <c r="F26" s="11"/>
      <c r="G26" s="30" t="s">
        <v>595</v>
      </c>
      <c r="H26" s="1" t="str">
        <f t="shared" ca="1" si="13"/>
        <v>iceDeath</v>
      </c>
      <c r="I26" s="1" t="str">
        <f ca="1">IF(C26&lt;2,"this",IF(C26=C25,I25,IF(C26&gt;C25,H25, LOOKUP(1,0/(H$24:H25=I25),I$24:I26))))</f>
        <v>this</v>
      </c>
      <c r="J26" s="1" t="str">
        <f t="shared" ref="J26:J30" si="17">CONCATENATE("create",IF(LEFT(G26,2)="MC",MID(G26,3,LEN(G26)),G26))</f>
        <v>createMovieClip</v>
      </c>
      <c r="K26" s="1" t="s">
        <v>738</v>
      </c>
      <c r="L26" s="1" t="str">
        <f t="shared" si="14"/>
        <v>iceDeath</v>
      </c>
      <c r="M26" s="1"/>
      <c r="N26" s="1"/>
      <c r="O26" s="1"/>
      <c r="P26" s="14" t="str">
        <f t="shared" ca="1" si="15"/>
        <v>MovieClip * iceDeath;</v>
      </c>
      <c r="Q26" s="14" t="str">
        <f t="shared" ca="1" si="16"/>
        <v>iceDeath= this-&gt;createMovieClip("iceDeath","unit/","iceDeath","UnitBase_mc");</v>
      </c>
    </row>
    <row r="27" spans="1:17" x14ac:dyDescent="0.25">
      <c r="A27" s="1"/>
      <c r="B27" s="3" t="s">
        <v>740</v>
      </c>
      <c r="C27" s="1">
        <f t="shared" ca="1" si="12"/>
        <v>1</v>
      </c>
      <c r="D27" s="1" t="s">
        <v>7</v>
      </c>
      <c r="E27" s="11" t="s">
        <v>134</v>
      </c>
      <c r="F27" s="11"/>
      <c r="G27" s="30" t="s">
        <v>595</v>
      </c>
      <c r="H27" s="1" t="str">
        <f t="shared" ca="1" si="13"/>
        <v>buffHP</v>
      </c>
      <c r="I27" s="1" t="str">
        <f ca="1">IF(C27&lt;2,"this",IF(C27=C26,I26,IF(C27&gt;C26,H26, LOOKUP(1,0/(H$24:H26=I26),I$24:I27))))</f>
        <v>this</v>
      </c>
      <c r="J27" s="1" t="str">
        <f t="shared" si="17"/>
        <v>createMovieClip</v>
      </c>
      <c r="K27" s="1" t="s">
        <v>738</v>
      </c>
      <c r="L27" s="1" t="str">
        <f t="shared" si="14"/>
        <v>buffHP</v>
      </c>
      <c r="M27" s="1"/>
      <c r="N27" s="1"/>
      <c r="O27" s="1"/>
      <c r="P27" s="14" t="str">
        <f t="shared" ca="1" si="15"/>
        <v>MovieClip * buffHP;</v>
      </c>
      <c r="Q27" s="14" t="str">
        <f t="shared" ca="1" si="16"/>
        <v>buffHP= this-&gt;createMovieClip("buffHP","unit/","buffHP","UnitBase_mc");</v>
      </c>
    </row>
    <row r="28" spans="1:17" x14ac:dyDescent="0.25">
      <c r="A28" s="1"/>
      <c r="B28" s="3" t="s">
        <v>743</v>
      </c>
      <c r="C28" s="1">
        <f t="shared" ca="1" si="12"/>
        <v>1</v>
      </c>
      <c r="D28" s="1" t="s">
        <v>7</v>
      </c>
      <c r="E28" s="11" t="s">
        <v>134</v>
      </c>
      <c r="F28" s="11"/>
      <c r="G28" s="30" t="s">
        <v>595</v>
      </c>
      <c r="H28" s="1" t="str">
        <f t="shared" ca="1" si="13"/>
        <v>airShock</v>
      </c>
      <c r="I28" s="1" t="str">
        <f ca="1">IF(C28&lt;2,"this",IF(C28=C27,I27,IF(C28&gt;C27,H27, LOOKUP(1,0/(H$24:H27=I27),I$24:I28))))</f>
        <v>this</v>
      </c>
      <c r="J28" s="1" t="str">
        <f t="shared" si="17"/>
        <v>createMovieClip</v>
      </c>
      <c r="K28" s="1" t="s">
        <v>738</v>
      </c>
      <c r="L28" s="1" t="str">
        <f t="shared" si="14"/>
        <v>airShock</v>
      </c>
      <c r="M28" s="1"/>
      <c r="N28" s="1"/>
      <c r="O28" s="1"/>
      <c r="P28" s="14" t="str">
        <f t="shared" ca="1" si="15"/>
        <v>MovieClip * airShock;</v>
      </c>
      <c r="Q28" s="14" t="str">
        <f t="shared" ca="1" si="16"/>
        <v>airShock= this-&gt;createMovieClip("airShock","unit/","airShock","UnitBase_mc");</v>
      </c>
    </row>
    <row r="29" spans="1:17" x14ac:dyDescent="0.25">
      <c r="A29" s="1"/>
      <c r="B29" s="3" t="s">
        <v>744</v>
      </c>
      <c r="C29" s="1">
        <f t="shared" ca="1" si="12"/>
        <v>1</v>
      </c>
      <c r="D29" s="1" t="s">
        <v>7</v>
      </c>
      <c r="E29" s="11" t="s">
        <v>134</v>
      </c>
      <c r="F29" s="11"/>
      <c r="G29" s="30" t="s">
        <v>595</v>
      </c>
      <c r="H29" s="1" t="str">
        <f t="shared" ca="1" si="13"/>
        <v>buffSpeed</v>
      </c>
      <c r="I29" s="1" t="str">
        <f ca="1">IF(C29&lt;2,"this",IF(C29=C28,I28,IF(C29&gt;C28,H28, LOOKUP(1,0/(H$24:H28=I28),I$24:I29))))</f>
        <v>this</v>
      </c>
      <c r="J29" s="1" t="str">
        <f t="shared" si="17"/>
        <v>createMovieClip</v>
      </c>
      <c r="K29" s="1" t="s">
        <v>738</v>
      </c>
      <c r="L29" s="1" t="str">
        <f t="shared" si="14"/>
        <v>buffSpeed</v>
      </c>
      <c r="M29" s="1"/>
      <c r="N29" s="1"/>
      <c r="O29" s="1"/>
      <c r="P29" s="14" t="str">
        <f t="shared" ca="1" si="15"/>
        <v>MovieClip * buffSpeed;</v>
      </c>
      <c r="Q29" s="14" t="str">
        <f t="shared" ca="1" si="16"/>
        <v>buffSpeed= this-&gt;createMovieClip("buffSpeed","unit/","buffSpeed","UnitBase_mc");</v>
      </c>
    </row>
    <row r="30" spans="1:17" x14ac:dyDescent="0.25">
      <c r="A30" s="1"/>
      <c r="B30" s="3" t="s">
        <v>22</v>
      </c>
      <c r="C30" s="1">
        <f t="shared" ca="1" si="12"/>
        <v>1</v>
      </c>
      <c r="D30" s="1" t="s">
        <v>7</v>
      </c>
      <c r="E30" s="11" t="s">
        <v>134</v>
      </c>
      <c r="F30" s="11"/>
      <c r="G30" s="30" t="s">
        <v>595</v>
      </c>
      <c r="H30" s="1" t="str">
        <f t="shared" ca="1" si="13"/>
        <v>dust1</v>
      </c>
      <c r="I30" s="1" t="str">
        <f ca="1">IF(C30&lt;2,"this",IF(C30=C29,I29,IF(C30&gt;C29,H29, LOOKUP(1,0/(H$24:H29=I29),I$24:I30))))</f>
        <v>this</v>
      </c>
      <c r="J30" s="1" t="str">
        <f t="shared" si="17"/>
        <v>createMovieClip</v>
      </c>
      <c r="K30" s="1" t="s">
        <v>738</v>
      </c>
      <c r="L30" s="1" t="str">
        <f t="shared" si="14"/>
        <v>dust1</v>
      </c>
      <c r="M30" s="1"/>
      <c r="N30" s="1"/>
      <c r="O30" s="1"/>
      <c r="P30" s="14" t="str">
        <f t="shared" ca="1" si="15"/>
        <v>MovieClip * dust1;</v>
      </c>
      <c r="Q30" s="14" t="str">
        <f t="shared" ca="1" si="16"/>
        <v>dust1= this-&gt;createMovieClip("dust1","unit/","dust1","UnitBase_mc");</v>
      </c>
    </row>
    <row r="31" spans="1:17" x14ac:dyDescent="0.25">
      <c r="A31" s="1"/>
      <c r="B31" s="3" t="s">
        <v>23</v>
      </c>
      <c r="C31" s="1">
        <f t="shared" ca="1" si="12"/>
        <v>1</v>
      </c>
      <c r="D31" s="1" t="s">
        <v>7</v>
      </c>
      <c r="E31" s="11" t="s">
        <v>134</v>
      </c>
      <c r="F31" s="11"/>
      <c r="G31" s="30" t="s">
        <v>595</v>
      </c>
      <c r="H31" s="1" t="str">
        <f t="shared" ref="H31:H84" ca="1" si="18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19">CONCATENATE("create",IF(LEFT(G31,2)="MC",MID(G31,3,LEN(G31)),G31))</f>
        <v>createMovieClip</v>
      </c>
      <c r="K31" s="1" t="s">
        <v>738</v>
      </c>
      <c r="L31" s="1" t="str">
        <f t="shared" si="14"/>
        <v>dust2</v>
      </c>
      <c r="M31" s="1"/>
      <c r="N31" s="1"/>
      <c r="O31" s="1"/>
      <c r="P31" s="14" t="str">
        <f t="shared" ca="1" si="15"/>
        <v>MovieClip * dust2;</v>
      </c>
      <c r="Q31" s="14" t="str">
        <f t="shared" ca="1" si="16"/>
        <v>dust2= this-&gt;createMovieClip("dust2","unit/","dust2","UnitBase_mc");</v>
      </c>
    </row>
    <row r="32" spans="1:17" x14ac:dyDescent="0.25">
      <c r="A32" s="1"/>
      <c r="B32" s="3" t="s">
        <v>24</v>
      </c>
      <c r="C32" s="1">
        <f t="shared" ca="1" si="12"/>
        <v>1</v>
      </c>
      <c r="D32" s="1" t="s">
        <v>7</v>
      </c>
      <c r="E32" s="11" t="s">
        <v>134</v>
      </c>
      <c r="F32" s="11"/>
      <c r="G32" s="30" t="s">
        <v>595</v>
      </c>
      <c r="H32" s="1" t="str">
        <f t="shared" ca="1" si="18"/>
        <v>dust3</v>
      </c>
      <c r="I32" s="1" t="str">
        <f ca="1">IF(C32&lt;2,"this",IF(C32=C31,I31,IF(C32&gt;C31,H31, LOOKUP(1,0/(H$24:H31=I31),I$24:I32))))</f>
        <v>this</v>
      </c>
      <c r="J32" s="1" t="str">
        <f t="shared" si="19"/>
        <v>createMovieClip</v>
      </c>
      <c r="K32" s="1" t="s">
        <v>738</v>
      </c>
      <c r="L32" s="1" t="str">
        <f t="shared" si="14"/>
        <v>dust3</v>
      </c>
      <c r="M32" s="1"/>
      <c r="N32" s="1"/>
      <c r="O32" s="1"/>
      <c r="P32" s="14" t="str">
        <f t="shared" ca="1" si="15"/>
        <v>MovieClip * dust3;</v>
      </c>
      <c r="Q32" s="14" t="str">
        <f t="shared" ca="1" si="16"/>
        <v>dust3= this-&gt;createMovieClip("dust3","unit/","dust3","UnitBase_mc");</v>
      </c>
    </row>
    <row r="33" spans="1:17" x14ac:dyDescent="0.25">
      <c r="A33" s="1"/>
      <c r="B33" s="3" t="s">
        <v>745</v>
      </c>
      <c r="C33" s="1">
        <f t="shared" ca="1" si="12"/>
        <v>1</v>
      </c>
      <c r="D33" s="1" t="s">
        <v>7</v>
      </c>
      <c r="E33" s="11" t="s">
        <v>134</v>
      </c>
      <c r="F33" s="11"/>
      <c r="G33" s="30" t="s">
        <v>595</v>
      </c>
      <c r="H33" s="1" t="str">
        <f t="shared" ca="1" si="18"/>
        <v>fireAttack</v>
      </c>
      <c r="I33" s="1" t="str">
        <f ca="1">IF(C33&lt;2,"this",IF(C33=C32,I32,IF(C33&gt;C32,H32, LOOKUP(1,0/(H$24:H32=I32),I$24:I33))))</f>
        <v>this</v>
      </c>
      <c r="J33" s="1" t="str">
        <f t="shared" si="19"/>
        <v>createMovieClip</v>
      </c>
      <c r="K33" s="1" t="s">
        <v>738</v>
      </c>
      <c r="L33" s="1" t="str">
        <f t="shared" si="14"/>
        <v>fireAttack</v>
      </c>
      <c r="M33" s="1"/>
      <c r="N33" s="1"/>
      <c r="O33" s="1"/>
      <c r="P33" s="14" t="str">
        <f t="shared" ca="1" si="15"/>
        <v>MovieClip * fireAttack;</v>
      </c>
      <c r="Q33" s="14" t="str">
        <f t="shared" ca="1" si="16"/>
        <v>fireAttack= this-&gt;createMovieClip("fireAttack","unit/","fireAttack","UnitBase_mc");</v>
      </c>
    </row>
    <row r="34" spans="1:17" x14ac:dyDescent="0.25">
      <c r="A34" s="1"/>
      <c r="B34" s="3" t="s">
        <v>746</v>
      </c>
      <c r="C34" s="1">
        <f t="shared" ca="1" si="12"/>
        <v>1</v>
      </c>
      <c r="D34" s="1" t="s">
        <v>7</v>
      </c>
      <c r="E34" s="11" t="s">
        <v>134</v>
      </c>
      <c r="F34" s="11"/>
      <c r="G34" s="30" t="s">
        <v>595</v>
      </c>
      <c r="H34" s="1" t="str">
        <f t="shared" ca="1" si="18"/>
        <v>iceAttack</v>
      </c>
      <c r="I34" s="1" t="str">
        <f ca="1">IF(C34&lt;2,"this",IF(C34=C33,I33,IF(C34&gt;C33,H33, LOOKUP(1,0/(H$24:H33=I33),I$24:I34))))</f>
        <v>this</v>
      </c>
      <c r="J34" s="1" t="str">
        <f t="shared" si="19"/>
        <v>createMovieClip</v>
      </c>
      <c r="K34" s="1" t="s">
        <v>738</v>
      </c>
      <c r="L34" s="1" t="str">
        <f t="shared" si="14"/>
        <v>iceAttack</v>
      </c>
      <c r="M34" s="1"/>
      <c r="N34" s="1"/>
      <c r="O34" s="1"/>
      <c r="P34" s="14" t="str">
        <f t="shared" ca="1" si="15"/>
        <v>MovieClip * iceAttack;</v>
      </c>
      <c r="Q34" s="14" t="str">
        <f t="shared" ca="1" si="16"/>
        <v>iceAttack= this-&gt;createMovieClip("iceAttack","unit/","iceAttack","UnitBase_mc");</v>
      </c>
    </row>
    <row r="35" spans="1:17" x14ac:dyDescent="0.25">
      <c r="A35" s="1"/>
      <c r="B35" s="3" t="s">
        <v>747</v>
      </c>
      <c r="C35" s="1">
        <f t="shared" ca="1" si="12"/>
        <v>1</v>
      </c>
      <c r="D35" s="1" t="s">
        <v>7</v>
      </c>
      <c r="E35" s="11" t="s">
        <v>134</v>
      </c>
      <c r="F35" s="11"/>
      <c r="G35" s="30" t="s">
        <v>595</v>
      </c>
      <c r="H35" s="1" t="str">
        <f t="shared" ca="1" si="18"/>
        <v>levinAttack</v>
      </c>
      <c r="I35" s="1" t="str">
        <f ca="1">IF(C35&lt;2,"this",IF(C35=C34,I34,IF(C35&gt;C34,H34, LOOKUP(1,0/(H$24:H34=I34),I$24:I35))))</f>
        <v>this</v>
      </c>
      <c r="J35" s="1" t="str">
        <f t="shared" si="19"/>
        <v>createMovieClip</v>
      </c>
      <c r="K35" s="1" t="s">
        <v>738</v>
      </c>
      <c r="L35" s="1" t="str">
        <f t="shared" si="14"/>
        <v>levinAttack</v>
      </c>
      <c r="M35" s="1"/>
      <c r="N35" s="1"/>
      <c r="O35" s="1"/>
      <c r="P35" s="14" t="str">
        <f t="shared" ca="1" si="15"/>
        <v>MovieClip * levinAttack;</v>
      </c>
      <c r="Q35" s="14" t="str">
        <f t="shared" ca="1" si="16"/>
        <v>levinAttack= this-&gt;createMovieClip("levinAttack","unit/","levinAttack","UnitBase_mc");</v>
      </c>
    </row>
    <row r="36" spans="1:17" x14ac:dyDescent="0.25">
      <c r="A36" s="1"/>
      <c r="B36" s="3" t="s">
        <v>748</v>
      </c>
      <c r="C36" s="1">
        <f t="shared" ca="1" si="12"/>
        <v>1</v>
      </c>
      <c r="D36" s="1" t="s">
        <v>7</v>
      </c>
      <c r="E36" s="11" t="s">
        <v>134</v>
      </c>
      <c r="F36" s="11"/>
      <c r="G36" s="30" t="s">
        <v>595</v>
      </c>
      <c r="H36" s="1" t="str">
        <f t="shared" ca="1" si="18"/>
        <v>iceFreez</v>
      </c>
      <c r="I36" s="1" t="str">
        <f ca="1">IF(C36&lt;2,"this",IF(C36=C35,I35,IF(C36&gt;C35,H35, LOOKUP(1,0/(H$24:H35=I35),I$24:I36))))</f>
        <v>this</v>
      </c>
      <c r="J36" s="1" t="str">
        <f t="shared" si="19"/>
        <v>createMovieClip</v>
      </c>
      <c r="K36" s="1" t="s">
        <v>738</v>
      </c>
      <c r="L36" s="1" t="str">
        <f t="shared" si="14"/>
        <v>iceFreez</v>
      </c>
      <c r="M36" s="1"/>
      <c r="N36" s="1"/>
      <c r="O36" s="1"/>
      <c r="P36" s="14" t="str">
        <f t="shared" ca="1" si="15"/>
        <v>MovieClip * iceFreez;</v>
      </c>
      <c r="Q36" s="14" t="str">
        <f t="shared" ca="1" si="16"/>
        <v>iceFreez= this-&gt;createMovieClip("iceFreez","unit/","iceFreez","UnitBase_mc");</v>
      </c>
    </row>
    <row r="37" spans="1:17" x14ac:dyDescent="0.25">
      <c r="A37" s="1"/>
      <c r="B37" s="3" t="s">
        <v>749</v>
      </c>
      <c r="C37" s="1">
        <f t="shared" ca="1" si="12"/>
        <v>1</v>
      </c>
      <c r="D37" s="1" t="s">
        <v>7</v>
      </c>
      <c r="E37" s="11" t="s">
        <v>134</v>
      </c>
      <c r="F37" s="11"/>
      <c r="G37" s="30" t="s">
        <v>595</v>
      </c>
      <c r="H37" s="1" t="str">
        <f t="shared" ca="1" si="18"/>
        <v>fireEffect</v>
      </c>
      <c r="I37" s="1" t="str">
        <f ca="1">IF(C37&lt;2,"this",IF(C37=C36,I36,IF(C37&gt;C36,H36, LOOKUP(1,0/(H$24:H36=I36),I$24:I37))))</f>
        <v>this</v>
      </c>
      <c r="J37" s="1" t="str">
        <f t="shared" si="19"/>
        <v>createMovieClip</v>
      </c>
      <c r="K37" s="1" t="s">
        <v>738</v>
      </c>
      <c r="L37" s="1" t="str">
        <f t="shared" si="14"/>
        <v>fireEffect</v>
      </c>
      <c r="M37" s="1"/>
      <c r="N37" s="1"/>
      <c r="O37" s="1"/>
      <c r="P37" s="14" t="str">
        <f t="shared" ca="1" si="15"/>
        <v>MovieClip * fireEffect;</v>
      </c>
      <c r="Q37" s="14" t="str">
        <f ca="1">IF(C37&gt;0,H37&amp;"= "&amp;I37&amp;"-&gt;"&amp;J37&amp;"("""&amp;L37&amp;""",""unit/"","""&amp;L37&amp;""","""&amp;K37&amp;""")"&amp;";",IF(RIGHT(B37,3)&lt;&gt;"_mc",G37&amp;"("""&amp;D37&amp;""","""&amp;B37&amp;""","""&amp;K37&amp;"""{)",B37&amp;"::"&amp;B37&amp;":"&amp;G37&amp;"("""&amp;D37&amp;""","""&amp;B37&amp;""","""&amp;K37&amp;"""{)"))</f>
        <v>fireEffect= this-&gt;createMovieClip("fireEffect","unit/","fireEffect","UnitBase_mc");</v>
      </c>
    </row>
    <row r="38" spans="1:17" x14ac:dyDescent="0.25">
      <c r="A38" s="1"/>
      <c r="B38" s="3" t="s">
        <v>750</v>
      </c>
      <c r="C38" s="1">
        <f t="shared" ca="1" si="12"/>
        <v>1</v>
      </c>
      <c r="D38" s="1" t="s">
        <v>7</v>
      </c>
      <c r="E38" s="11" t="s">
        <v>134</v>
      </c>
      <c r="F38" s="11"/>
      <c r="G38" s="30" t="s">
        <v>595</v>
      </c>
      <c r="H38" s="1" t="str">
        <f t="shared" ca="1" si="18"/>
        <v>iceEffect</v>
      </c>
      <c r="I38" s="1" t="str">
        <f ca="1">IF(C38&lt;2,"this",IF(C38=C37,I37,IF(C38&gt;C37,H37, LOOKUP(1,0/(H$24:H37=I37),I$24:I38))))</f>
        <v>this</v>
      </c>
      <c r="J38" s="1" t="str">
        <f t="shared" si="19"/>
        <v>createMovieClip</v>
      </c>
      <c r="K38" s="1" t="s">
        <v>738</v>
      </c>
      <c r="L38" s="1" t="str">
        <f t="shared" si="14"/>
        <v>iceEffect</v>
      </c>
      <c r="M38" s="1"/>
      <c r="N38" s="1"/>
      <c r="O38" s="1"/>
      <c r="P38" s="14" t="str">
        <f t="shared" ca="1" si="15"/>
        <v>MovieClip * iceEffect;</v>
      </c>
      <c r="Q38" s="14" t="str">
        <f t="shared" ca="1" si="16"/>
        <v>iceEffect= this-&gt;createMovieClip("iceEffect","unit/","iceEffect","UnitBase_mc");</v>
      </c>
    </row>
    <row r="39" spans="1:17" x14ac:dyDescent="0.25">
      <c r="A39" s="1"/>
      <c r="B39" s="3" t="s">
        <v>751</v>
      </c>
      <c r="C39" s="1">
        <f t="shared" ca="1" si="12"/>
        <v>1</v>
      </c>
      <c r="D39" s="1" t="s">
        <v>7</v>
      </c>
      <c r="E39" s="11" t="s">
        <v>134</v>
      </c>
      <c r="F39" s="11"/>
      <c r="G39" s="30" t="s">
        <v>595</v>
      </c>
      <c r="H39" s="1" t="str">
        <f t="shared" ca="1" si="18"/>
        <v>armor</v>
      </c>
      <c r="I39" s="1" t="str">
        <f ca="1">IF(C39&lt;2,"this",IF(C39=C38,I38,IF(C39&gt;C38,H38, LOOKUP(1,0/(H$24:H38=I38),I$24:I39))))</f>
        <v>this</v>
      </c>
      <c r="J39" s="1" t="str">
        <f t="shared" si="19"/>
        <v>createMovieClip</v>
      </c>
      <c r="K39" s="1" t="s">
        <v>738</v>
      </c>
      <c r="L39" s="1" t="str">
        <f t="shared" si="14"/>
        <v>armor</v>
      </c>
      <c r="M39" s="1"/>
      <c r="N39" s="1"/>
      <c r="O39" s="1"/>
      <c r="P39" s="14" t="str">
        <f t="shared" ca="1" si="15"/>
        <v>MovieClip * armor;</v>
      </c>
      <c r="Q39" s="14" t="str">
        <f t="shared" ca="1" si="16"/>
        <v>armor= this-&gt;createMovieClip("armor","unit/","armor","UnitBase_mc");</v>
      </c>
    </row>
    <row r="40" spans="1:17" s="12" customFormat="1" x14ac:dyDescent="0.25">
      <c r="A40" s="11"/>
      <c r="B40" s="3" t="s">
        <v>752</v>
      </c>
      <c r="C40" s="1">
        <f t="shared" ca="1" si="12"/>
        <v>1</v>
      </c>
      <c r="D40" s="11" t="s">
        <v>7</v>
      </c>
      <c r="E40" s="11" t="s">
        <v>134</v>
      </c>
      <c r="F40" s="11"/>
      <c r="G40" s="30" t="s">
        <v>595</v>
      </c>
      <c r="H40" s="1" t="str">
        <f t="shared" ca="1" si="18"/>
        <v>healthBar</v>
      </c>
      <c r="I40" s="1" t="str">
        <f ca="1">IF(C40&lt;2,"this",IF(C40=C39,I39,IF(C40&gt;C39,H39, LOOKUP(1,0/(H$24:H39=I39),I$24:I40))))</f>
        <v>this</v>
      </c>
      <c r="J40" s="1" t="str">
        <f t="shared" si="19"/>
        <v>createMovieClip</v>
      </c>
      <c r="K40" s="1" t="s">
        <v>738</v>
      </c>
      <c r="L40" s="1" t="str">
        <f t="shared" si="14"/>
        <v>healthBar</v>
      </c>
      <c r="M40" s="11"/>
      <c r="N40" s="11"/>
      <c r="O40" s="11"/>
      <c r="P40" s="14" t="str">
        <f t="shared" ca="1" si="15"/>
        <v>MovieClip * healthBar;</v>
      </c>
      <c r="Q40" s="14" t="str">
        <f t="shared" ca="1" si="16"/>
        <v>healthBar= this-&gt;createMovieClip("healthBar","unit/","healthBar","UnitBase_mc");</v>
      </c>
    </row>
    <row r="41" spans="1:17" s="12" customFormat="1" x14ac:dyDescent="0.25">
      <c r="A41" s="11"/>
      <c r="B41" s="3" t="s">
        <v>372</v>
      </c>
      <c r="C41" s="1">
        <f t="shared" ca="1" si="12"/>
        <v>1</v>
      </c>
      <c r="D41" s="11" t="s">
        <v>7</v>
      </c>
      <c r="E41" s="11" t="s">
        <v>134</v>
      </c>
      <c r="F41" s="11"/>
      <c r="G41" s="30" t="s">
        <v>595</v>
      </c>
      <c r="H41" s="1" t="str">
        <f t="shared" ca="1" si="18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738</v>
      </c>
      <c r="L41" s="1" t="str">
        <f t="shared" si="14"/>
        <v>shadow</v>
      </c>
      <c r="M41" s="11"/>
      <c r="N41" s="11"/>
      <c r="O41" s="11"/>
      <c r="P41" s="14" t="str">
        <f t="shared" ca="1" si="15"/>
        <v>MovieClip * shadow;</v>
      </c>
      <c r="Q41" s="14" t="str">
        <f t="shared" ca="1" si="16"/>
        <v>shadow= this-&gt;createMovieClip("shadow","unit/","shadow","UnitBase_mc");</v>
      </c>
    </row>
    <row r="42" spans="1:17" s="12" customFormat="1" x14ac:dyDescent="0.25">
      <c r="A42" s="11"/>
      <c r="B42" s="3" t="s">
        <v>430</v>
      </c>
      <c r="C42" s="1">
        <f t="shared" ca="1" si="12"/>
        <v>1</v>
      </c>
      <c r="D42" s="11" t="s">
        <v>7</v>
      </c>
      <c r="E42" s="11" t="s">
        <v>134</v>
      </c>
      <c r="F42" s="11"/>
      <c r="G42" s="30" t="s">
        <v>595</v>
      </c>
      <c r="H42" s="1" t="str">
        <f t="shared" ca="1" si="18"/>
        <v>selectUnit</v>
      </c>
      <c r="I42" s="1" t="str">
        <f ca="1">IF(C42&lt;2,"this",IF(C42=C41,I41,IF(C42&gt;C41,H41, LOOKUP(1,0/(H$24:H41=I41),I$24:I42))))</f>
        <v>this</v>
      </c>
      <c r="J42" s="1" t="str">
        <f t="shared" si="19"/>
        <v>createMovieClip</v>
      </c>
      <c r="K42" s="1" t="s">
        <v>738</v>
      </c>
      <c r="L42" s="1" t="str">
        <f t="shared" si="14"/>
        <v>selectUnit</v>
      </c>
      <c r="M42" s="11"/>
      <c r="N42" s="11"/>
      <c r="O42" s="11"/>
      <c r="P42" s="14" t="str">
        <f t="shared" ca="1" si="15"/>
        <v>MovieClip * selectUnit;</v>
      </c>
      <c r="Q42" s="14" t="str">
        <f t="shared" ca="1" si="16"/>
        <v>selectUnit= this-&gt;createMovieClip("selectUnit","unit/","selectUnit","UnitBase_mc");</v>
      </c>
    </row>
    <row r="43" spans="1:17" s="12" customFormat="1" x14ac:dyDescent="0.25">
      <c r="A43" s="11"/>
      <c r="B43" s="3" t="s">
        <v>25</v>
      </c>
      <c r="C43" s="1">
        <f t="shared" ref="C43:C44" ca="1" si="20">indent(B43)</f>
        <v>1</v>
      </c>
      <c r="D43" s="11" t="s">
        <v>7</v>
      </c>
      <c r="E43" s="11" t="s">
        <v>134</v>
      </c>
      <c r="F43" s="11"/>
      <c r="G43" s="30" t="s">
        <v>595</v>
      </c>
      <c r="H43" s="1" t="str">
        <f t="shared" ref="H43:H44" ca="1" si="21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2">CONCATENATE("create",IF(LEFT(G43,2)="MC",MID(G43,3,LEN(G43)),G43))</f>
        <v>createMovieClip</v>
      </c>
      <c r="K43" s="1" t="s">
        <v>738</v>
      </c>
      <c r="L43" s="1" t="str">
        <f t="shared" ref="L43:L44" si="23">B43</f>
        <v>dust4</v>
      </c>
      <c r="M43" s="11"/>
      <c r="N43" s="11"/>
      <c r="O43" s="11"/>
      <c r="P43" s="14" t="str">
        <f t="shared" ref="P43:P44" ca="1" si="24">IF(C43&gt;0,G43 &amp; " * "&amp;H43 &amp;";","")</f>
        <v>MovieClip * dust4;</v>
      </c>
      <c r="Q43" s="14" t="str">
        <f t="shared" ca="1" si="16"/>
        <v>dust4= this-&gt;createMovieClip("dust4","unit/","dust4","UnitBase_mc");</v>
      </c>
    </row>
    <row r="44" spans="1:17" s="12" customFormat="1" x14ac:dyDescent="0.25">
      <c r="A44" s="11"/>
      <c r="B44" s="3" t="s">
        <v>755</v>
      </c>
      <c r="C44" s="1">
        <f t="shared" ca="1" si="20"/>
        <v>1</v>
      </c>
      <c r="D44" s="11" t="s">
        <v>7</v>
      </c>
      <c r="E44" s="11" t="s">
        <v>134</v>
      </c>
      <c r="F44" s="11"/>
      <c r="G44" s="30" t="s">
        <v>756</v>
      </c>
      <c r="H44" s="1" t="str">
        <f t="shared" ca="1" si="21"/>
        <v>cont</v>
      </c>
      <c r="I44" s="1" t="str">
        <f ca="1">IF(C44&lt;2,"this",IF(C44=C43,I43,IF(C44&gt;C43,H43, LOOKUP(1,0/(H$24:H43=I43),I$24:I44))))</f>
        <v>this</v>
      </c>
      <c r="J44" s="1" t="str">
        <f t="shared" si="22"/>
        <v>createMovieClipSub</v>
      </c>
      <c r="K44" s="1" t="str">
        <f t="shared" ref="K44" si="25">B44</f>
        <v>cont</v>
      </c>
      <c r="L44" s="1" t="str">
        <f t="shared" si="23"/>
        <v>cont</v>
      </c>
      <c r="M44" s="11"/>
      <c r="N44" s="11"/>
      <c r="O44" s="11"/>
      <c r="P44" s="14" t="str">
        <f t="shared" ca="1" si="24"/>
        <v>MovieClipSub * cont;</v>
      </c>
      <c r="Q44" s="14" t="str">
        <f t="shared" ref="Q44:Q84" ca="1" si="26">IF(C44&gt;0,H44&amp;"= "&amp;I44&amp;"-&gt;"&amp;J44&amp;"("""&amp;K44&amp;""")"&amp;";",IF(RIGHT(B44,3)&lt;&gt;"_mc",G44&amp;"("""&amp;D44&amp;""","""&amp;B44&amp;""","""&amp;K44&amp;"""{)",B44&amp;"::"&amp;B44&amp;":"&amp;G44&amp;"("""&amp;D44&amp;""","""&amp;B44&amp;""","""&amp;K44&amp;"""{)"))</f>
        <v>cont= this-&gt;createMovieClipSub("cont");</v>
      </c>
    </row>
    <row r="45" spans="1:17" x14ac:dyDescent="0.25">
      <c r="A45" s="1"/>
      <c r="B45" s="3" t="s">
        <v>757</v>
      </c>
      <c r="C45" s="1">
        <f t="shared" ref="C45" ca="1" si="27">indent(B45)</f>
        <v>1</v>
      </c>
      <c r="D45" s="1" t="s">
        <v>7</v>
      </c>
      <c r="E45" s="11" t="s">
        <v>134</v>
      </c>
      <c r="F45" s="11"/>
      <c r="G45" s="30" t="s">
        <v>758</v>
      </c>
      <c r="H45" s="1" t="str">
        <f t="shared" ref="H45" ca="1" si="28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9">CONCATENATE("create",IF(LEFT(G45,2)="MC",MID(G45,3,LEN(G45)),G45))</f>
        <v>createCase</v>
      </c>
      <c r="K45" s="1" t="str">
        <f t="shared" ref="K45" si="30">B45</f>
        <v>unitCase</v>
      </c>
      <c r="L45" s="1"/>
      <c r="M45" s="1"/>
      <c r="N45" s="1"/>
      <c r="O45" s="1"/>
      <c r="P45" s="14" t="str">
        <f t="shared" ref="P45" ca="1" si="31">IF(C45&gt;0,G45 &amp; " * "&amp;H45 &amp;";","")</f>
        <v>MCCase * unitCase;</v>
      </c>
      <c r="Q45" s="14" t="str">
        <f t="shared" ca="1" si="26"/>
        <v>unitCase= this-&gt;createCase("unitCase");</v>
      </c>
    </row>
    <row r="46" spans="1:17" s="12" customFormat="1" x14ac:dyDescent="0.25">
      <c r="A46" s="11"/>
      <c r="B46" s="13"/>
      <c r="C46" s="1"/>
      <c r="D46" s="11"/>
      <c r="E46" s="11"/>
      <c r="F46" s="11"/>
      <c r="G46" s="30"/>
      <c r="H46" s="1"/>
      <c r="I46" s="1"/>
      <c r="J46" s="1"/>
      <c r="K46" s="1"/>
      <c r="L46" s="11"/>
      <c r="M46" s="11"/>
      <c r="N46" s="11"/>
      <c r="O46" s="11"/>
      <c r="P46" s="14"/>
      <c r="Q46" s="14"/>
    </row>
    <row r="47" spans="1:17" s="12" customFormat="1" x14ac:dyDescent="0.25">
      <c r="A47" s="11" t="s">
        <v>19</v>
      </c>
      <c r="B47" s="21" t="s">
        <v>759</v>
      </c>
      <c r="C47" s="1">
        <f t="shared" ca="1" si="12"/>
        <v>0</v>
      </c>
      <c r="D47" s="11" t="s">
        <v>7</v>
      </c>
      <c r="E47" s="11" t="s">
        <v>134</v>
      </c>
      <c r="F47" s="11"/>
      <c r="G47" s="30" t="s">
        <v>595</v>
      </c>
      <c r="H47" s="1" t="str">
        <f t="shared" ca="1" si="18"/>
        <v>UnitX_mc</v>
      </c>
      <c r="I47" s="1" t="str">
        <f ca="1">IF(C47&lt;2,"this",IF(C47=C42,I42,IF(C47&gt;C42,H42, LOOKUP(1,0/(H$24:H42=I42),I$24:I47))))</f>
        <v>this</v>
      </c>
      <c r="J47" s="1" t="str">
        <f t="shared" si="19"/>
        <v>createMovieClip</v>
      </c>
      <c r="K47" s="1" t="str">
        <f t="shared" ref="K47:K84" si="32">B47</f>
        <v>UnitX_mc</v>
      </c>
      <c r="L47" s="11"/>
      <c r="M47" s="11"/>
      <c r="N47" s="11" t="s">
        <v>53</v>
      </c>
      <c r="O47" s="11"/>
      <c r="P47" s="14" t="str">
        <f t="shared" ca="1" si="15"/>
        <v/>
      </c>
      <c r="Q47" s="14" t="str">
        <f t="shared" ca="1" si="26"/>
        <v>UnitX_mc::UnitX_mc:MovieClip("unit","UnitX_mc","UnitX_mc"{)</v>
      </c>
    </row>
    <row r="48" spans="1:17" s="12" customFormat="1" ht="13.2" customHeight="1" x14ac:dyDescent="0.25">
      <c r="A48" s="11"/>
      <c r="B48" s="3" t="s">
        <v>755</v>
      </c>
      <c r="C48" s="1">
        <f t="shared" ca="1" si="12"/>
        <v>1</v>
      </c>
      <c r="D48" s="11" t="s">
        <v>7</v>
      </c>
      <c r="E48" s="11" t="s">
        <v>134</v>
      </c>
      <c r="F48" s="11"/>
      <c r="G48" s="30" t="s">
        <v>756</v>
      </c>
      <c r="H48" s="1" t="str">
        <f t="shared" ca="1" si="18"/>
        <v>cont</v>
      </c>
      <c r="I48" s="1" t="str">
        <f ca="1">IF(C48&lt;2,"this",IF(C48=C47,I47,IF(C48&gt;C47,H47, LOOKUP(1,0/(H$24:H47=I47),I$24:I48))))</f>
        <v>this</v>
      </c>
      <c r="J48" s="1" t="str">
        <f t="shared" si="19"/>
        <v>createMovieClipSub</v>
      </c>
      <c r="K48" s="1" t="str">
        <f t="shared" si="32"/>
        <v>cont</v>
      </c>
      <c r="L48" s="1" t="str">
        <f t="shared" ref="L48" si="33">B48</f>
        <v>cont</v>
      </c>
      <c r="M48" s="11"/>
      <c r="N48" s="11"/>
      <c r="O48" s="11"/>
      <c r="P48" s="14" t="str">
        <f t="shared" ca="1" si="15"/>
        <v>MovieClipSub * cont;</v>
      </c>
      <c r="Q48" s="14" t="str">
        <f t="shared" ca="1" si="26"/>
        <v>cont= this-&gt;createMovieClipSub("cont");</v>
      </c>
    </row>
    <row r="49" spans="1:17" x14ac:dyDescent="0.25">
      <c r="A49" s="1"/>
      <c r="B49" s="3" t="s">
        <v>757</v>
      </c>
      <c r="C49" s="1">
        <f t="shared" ca="1" si="12"/>
        <v>1</v>
      </c>
      <c r="D49" s="1" t="s">
        <v>7</v>
      </c>
      <c r="E49" s="11" t="s">
        <v>134</v>
      </c>
      <c r="F49" s="11"/>
      <c r="G49" s="30" t="s">
        <v>758</v>
      </c>
      <c r="H49" s="1" t="str">
        <f t="shared" ca="1" si="18"/>
        <v>unitCase</v>
      </c>
      <c r="I49" s="1" t="str">
        <f ca="1">IF(C49&lt;2,"this",IF(C49=C5,I5,IF(C49&gt;C5,H5, LOOKUP(1,0/(H5:H$24=I5),I7:I$24))))</f>
        <v>this</v>
      </c>
      <c r="J49" s="1" t="str">
        <f t="shared" si="19"/>
        <v>createCase</v>
      </c>
      <c r="K49" s="1" t="str">
        <f t="shared" si="32"/>
        <v>unitCase</v>
      </c>
      <c r="L49" s="1"/>
      <c r="M49" s="1"/>
      <c r="N49" s="1"/>
      <c r="O49" s="1"/>
      <c r="P49" s="14" t="str">
        <f t="shared" ca="1" si="15"/>
        <v>MCCase * unitCase;</v>
      </c>
      <c r="Q49" s="14" t="str">
        <f t="shared" ca="1" si="26"/>
        <v>unitCase= this-&gt;createCase("unitCase");</v>
      </c>
    </row>
    <row r="50" spans="1:17" s="12" customFormat="1" x14ac:dyDescent="0.25">
      <c r="A50" s="11" t="s">
        <v>760</v>
      </c>
      <c r="B50" s="21" t="s">
        <v>761</v>
      </c>
      <c r="C50" s="1">
        <f t="shared" ref="C50:C52" ca="1" si="34">indent(B50)</f>
        <v>0</v>
      </c>
      <c r="D50" s="11" t="s">
        <v>7</v>
      </c>
      <c r="E50" s="11" t="s">
        <v>134</v>
      </c>
      <c r="F50" s="11"/>
      <c r="G50" s="30" t="s">
        <v>595</v>
      </c>
      <c r="H50" s="1" t="str">
        <f t="shared" ref="H50:H52" ca="1" si="35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6">CONCATENATE("create",IF(LEFT(G50,2)="MC",MID(G50,3,LEN(G50)),G50))</f>
        <v>createMovieClip</v>
      </c>
      <c r="K50" s="1" t="str">
        <f t="shared" ref="K50:K52" si="37">B50</f>
        <v>Unit4_mc</v>
      </c>
      <c r="L50" s="11"/>
      <c r="M50" s="11"/>
      <c r="N50" s="11" t="s">
        <v>53</v>
      </c>
      <c r="O50" s="11"/>
      <c r="P50" s="14" t="str">
        <f t="shared" ref="P50:P52" ca="1" si="38">IF(C50&gt;0,G50 &amp; " * "&amp;H50 &amp;";","")</f>
        <v/>
      </c>
      <c r="Q50" s="14" t="str">
        <f t="shared" ref="Q50:Q52" ca="1" si="39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</row>
    <row r="51" spans="1:17" s="12" customFormat="1" ht="13.2" customHeight="1" x14ac:dyDescent="0.25">
      <c r="A51" s="11"/>
      <c r="B51" s="3" t="s">
        <v>755</v>
      </c>
      <c r="C51" s="1">
        <f t="shared" ca="1" si="34"/>
        <v>1</v>
      </c>
      <c r="D51" s="11" t="s">
        <v>7</v>
      </c>
      <c r="E51" s="11" t="s">
        <v>134</v>
      </c>
      <c r="F51" s="11"/>
      <c r="G51" s="30" t="s">
        <v>756</v>
      </c>
      <c r="H51" s="1" t="str">
        <f t="shared" ca="1" si="35"/>
        <v>cont</v>
      </c>
      <c r="I51" s="1" t="str">
        <f ca="1">IF(C51&lt;2,"this",IF(C51=C50,I50,IF(C51&gt;C50,H50, LOOKUP(1,0/(H$24:H50=I50),I$24:I51))))</f>
        <v>this</v>
      </c>
      <c r="J51" s="1" t="str">
        <f t="shared" si="36"/>
        <v>createMovieClipSub</v>
      </c>
      <c r="K51" s="1" t="str">
        <f t="shared" si="37"/>
        <v>cont</v>
      </c>
      <c r="L51" s="1" t="str">
        <f t="shared" ref="L51" si="40">B51</f>
        <v>cont</v>
      </c>
      <c r="M51" s="11"/>
      <c r="N51" s="11"/>
      <c r="O51" s="11"/>
      <c r="P51" s="14" t="str">
        <f t="shared" ca="1" si="38"/>
        <v>MovieClipSub * cont;</v>
      </c>
      <c r="Q51" s="14" t="str">
        <f t="shared" ca="1" si="39"/>
        <v>cont= this-&gt;createMovieClipSub("cont");</v>
      </c>
    </row>
    <row r="52" spans="1:17" x14ac:dyDescent="0.25">
      <c r="A52" s="1"/>
      <c r="B52" s="3" t="s">
        <v>757</v>
      </c>
      <c r="C52" s="1">
        <f t="shared" ca="1" si="34"/>
        <v>1</v>
      </c>
      <c r="D52" s="1" t="s">
        <v>7</v>
      </c>
      <c r="E52" s="11" t="s">
        <v>134</v>
      </c>
      <c r="F52" s="11"/>
      <c r="G52" s="30" t="s">
        <v>758</v>
      </c>
      <c r="H52" s="1" t="str">
        <f t="shared" ca="1" si="35"/>
        <v>unitCase</v>
      </c>
      <c r="I52" s="1" t="str">
        <f ca="1">IF(C52&lt;2,"this",IF(C52=C8,I8,IF(C52&gt;C8,H8, LOOKUP(1,0/(H8:H$24=I8),I10:I$24))))</f>
        <v>this</v>
      </c>
      <c r="J52" s="1" t="str">
        <f t="shared" si="36"/>
        <v>createCase</v>
      </c>
      <c r="K52" s="1" t="str">
        <f t="shared" si="37"/>
        <v>unitCase</v>
      </c>
      <c r="L52" s="1"/>
      <c r="M52" s="1"/>
      <c r="N52" s="1"/>
      <c r="O52" s="1"/>
      <c r="P52" s="14" t="str">
        <f t="shared" ca="1" si="38"/>
        <v>MCCase * unitCase;</v>
      </c>
      <c r="Q52" s="14" t="str">
        <f t="shared" ca="1" si="39"/>
        <v>unitCase= this-&gt;createCase("unitCase");</v>
      </c>
    </row>
    <row r="53" spans="1:17" s="12" customFormat="1" x14ac:dyDescent="0.25">
      <c r="A53" s="11" t="s">
        <v>35</v>
      </c>
      <c r="B53" s="11" t="s">
        <v>33</v>
      </c>
      <c r="C53" s="1">
        <f t="shared" ca="1" si="12"/>
        <v>0</v>
      </c>
      <c r="D53" s="11" t="s">
        <v>7</v>
      </c>
      <c r="E53" s="11" t="s">
        <v>134</v>
      </c>
      <c r="F53" s="11"/>
      <c r="G53" s="30" t="s">
        <v>595</v>
      </c>
      <c r="H53" s="1" t="str">
        <f t="shared" ca="1" si="18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19"/>
        <v>createMovieClip</v>
      </c>
      <c r="K53" s="1" t="str">
        <f t="shared" si="32"/>
        <v>signal</v>
      </c>
      <c r="L53" s="11"/>
      <c r="M53" s="11"/>
      <c r="N53" s="11"/>
      <c r="O53" s="11"/>
      <c r="P53" s="14" t="str">
        <f t="shared" ca="1" si="15"/>
        <v/>
      </c>
      <c r="Q53" s="14" t="str">
        <f t="shared" ca="1" si="26"/>
        <v>MovieClip("unit","signal","signal"{)</v>
      </c>
    </row>
    <row r="54" spans="1:17" s="12" customFormat="1" x14ac:dyDescent="0.25">
      <c r="A54" s="11" t="s">
        <v>36</v>
      </c>
      <c r="B54" s="11" t="s">
        <v>33</v>
      </c>
      <c r="C54" s="1">
        <f t="shared" ca="1" si="12"/>
        <v>0</v>
      </c>
      <c r="D54" s="11" t="s">
        <v>7</v>
      </c>
      <c r="E54" s="11" t="s">
        <v>134</v>
      </c>
      <c r="F54" s="11"/>
      <c r="G54" s="30" t="s">
        <v>595</v>
      </c>
      <c r="H54" s="1" t="str">
        <f t="shared" ca="1" si="18"/>
        <v>signal</v>
      </c>
      <c r="I54" s="1" t="str">
        <f ca="1">IF(C54&lt;2,"this",IF(C54=C53,I53,IF(C54&gt;C53,H53, LOOKUP(1,0/(H$24:H53=I53),I$24:I54))))</f>
        <v>this</v>
      </c>
      <c r="J54" s="1" t="str">
        <f t="shared" si="19"/>
        <v>createMovieClip</v>
      </c>
      <c r="K54" s="1" t="str">
        <f t="shared" si="32"/>
        <v>signal</v>
      </c>
      <c r="L54" s="11"/>
      <c r="M54" s="11"/>
      <c r="N54" s="11"/>
      <c r="O54" s="11"/>
      <c r="P54" s="14" t="str">
        <f t="shared" ca="1" si="15"/>
        <v/>
      </c>
      <c r="Q54" s="14" t="str">
        <f t="shared" ca="1" si="26"/>
        <v>MovieClip("unit","signal","signal"{)</v>
      </c>
    </row>
    <row r="55" spans="1:17" s="12" customFormat="1" x14ac:dyDescent="0.25">
      <c r="A55" s="11" t="s">
        <v>58</v>
      </c>
      <c r="B55" s="11" t="s">
        <v>57</v>
      </c>
      <c r="C55" s="1">
        <f t="shared" ca="1" si="12"/>
        <v>0</v>
      </c>
      <c r="D55" s="11" t="s">
        <v>7</v>
      </c>
      <c r="E55" s="11" t="s">
        <v>134</v>
      </c>
      <c r="F55" s="11"/>
      <c r="G55" s="30" t="s">
        <v>595</v>
      </c>
      <c r="H55" s="1" t="str">
        <f t="shared" ca="1" si="18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19"/>
        <v>createMovieClip</v>
      </c>
      <c r="K55" s="1" t="str">
        <f t="shared" si="32"/>
        <v>Unit20_frontDeath_mc</v>
      </c>
      <c r="L55" s="11"/>
      <c r="M55" s="11"/>
      <c r="N55" s="11"/>
      <c r="O55" s="11"/>
      <c r="P55" s="14" t="str">
        <f t="shared" ca="1" si="15"/>
        <v/>
      </c>
      <c r="Q55" s="14" t="str">
        <f t="shared" ca="1" si="26"/>
        <v>Unit20_frontDeath_mc::Unit20_frontDeath_mc:MovieClip("unit","Unit20_frontDeath_mc","Unit20_frontDeath_mc"{)</v>
      </c>
    </row>
    <row r="56" spans="1:17" s="12" customFormat="1" x14ac:dyDescent="0.25">
      <c r="A56" s="11"/>
      <c r="B56" s="11" t="s">
        <v>59</v>
      </c>
      <c r="C56" s="1">
        <f t="shared" ca="1" si="12"/>
        <v>0</v>
      </c>
      <c r="D56" s="11" t="s">
        <v>7</v>
      </c>
      <c r="E56" s="11" t="s">
        <v>134</v>
      </c>
      <c r="F56" s="11"/>
      <c r="G56" s="30" t="s">
        <v>595</v>
      </c>
      <c r="H56" s="1" t="str">
        <f t="shared" ca="1" si="18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19"/>
        <v>createMovieClip</v>
      </c>
      <c r="K56" s="1" t="str">
        <f t="shared" si="32"/>
        <v>Unit20_backDeath_mc</v>
      </c>
      <c r="L56" s="11"/>
      <c r="M56" s="11"/>
      <c r="N56" s="11"/>
      <c r="O56" s="11"/>
      <c r="P56" s="14" t="str">
        <f t="shared" ca="1" si="15"/>
        <v/>
      </c>
      <c r="Q56" s="14" t="str">
        <f t="shared" ca="1" si="26"/>
        <v>Unit20_backDeath_mc::Unit20_backDeath_mc:MovieClip("unit","Unit20_backDeath_mc","Unit20_backDeath_mc"{)</v>
      </c>
    </row>
    <row r="57" spans="1:17" s="12" customFormat="1" x14ac:dyDescent="0.25">
      <c r="A57" s="11" t="s">
        <v>60</v>
      </c>
      <c r="B57" s="11" t="s">
        <v>61</v>
      </c>
      <c r="C57" s="1">
        <f t="shared" ca="1" si="12"/>
        <v>0</v>
      </c>
      <c r="D57" s="11" t="s">
        <v>7</v>
      </c>
      <c r="E57" s="11" t="s">
        <v>134</v>
      </c>
      <c r="F57" s="11"/>
      <c r="G57" s="30" t="s">
        <v>595</v>
      </c>
      <c r="H57" s="1" t="str">
        <f t="shared" ca="1" si="18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19"/>
        <v>createMovieClip</v>
      </c>
      <c r="K57" s="1" t="str">
        <f t="shared" si="32"/>
        <v>Unit21_frontDeath_mc</v>
      </c>
      <c r="L57" s="11"/>
      <c r="M57" s="11"/>
      <c r="N57" s="11"/>
      <c r="O57" s="11"/>
      <c r="P57" s="14" t="str">
        <f t="shared" ca="1" si="15"/>
        <v/>
      </c>
      <c r="Q57" s="14" t="str">
        <f t="shared" ca="1" si="26"/>
        <v>Unit21_frontDeath_mc::Unit21_frontDeath_mc:MovieClip("unit","Unit21_frontDeath_mc","Unit21_frontDeath_mc"{)</v>
      </c>
    </row>
    <row r="58" spans="1:17" s="12" customFormat="1" x14ac:dyDescent="0.25">
      <c r="A58" s="11"/>
      <c r="B58" s="11" t="s">
        <v>62</v>
      </c>
      <c r="C58" s="1">
        <f t="shared" ca="1" si="12"/>
        <v>0</v>
      </c>
      <c r="D58" s="11" t="s">
        <v>7</v>
      </c>
      <c r="E58" s="11" t="s">
        <v>134</v>
      </c>
      <c r="F58" s="11"/>
      <c r="G58" s="30" t="s">
        <v>595</v>
      </c>
      <c r="H58" s="1" t="str">
        <f t="shared" ca="1" si="18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19"/>
        <v>createMovieClip</v>
      </c>
      <c r="K58" s="1" t="str">
        <f t="shared" si="32"/>
        <v>Unit21_backDeath_mc</v>
      </c>
      <c r="L58" s="11"/>
      <c r="M58" s="11"/>
      <c r="N58" s="11"/>
      <c r="O58" s="11"/>
      <c r="P58" s="14" t="str">
        <f t="shared" ca="1" si="15"/>
        <v/>
      </c>
      <c r="Q58" s="14" t="str">
        <f t="shared" ca="1" si="26"/>
        <v>Unit21_backDeath_mc::Unit21_backDeath_mc:MovieClip("unit","Unit21_backDeath_mc","Unit21_backDeath_mc"{)</v>
      </c>
    </row>
    <row r="59" spans="1:17" s="12" customFormat="1" x14ac:dyDescent="0.25">
      <c r="A59" s="11" t="s">
        <v>3</v>
      </c>
      <c r="B59" s="11" t="s">
        <v>2</v>
      </c>
      <c r="C59" s="1">
        <f t="shared" ca="1" si="12"/>
        <v>0</v>
      </c>
      <c r="D59" s="11" t="s">
        <v>7</v>
      </c>
      <c r="E59" s="11" t="s">
        <v>134</v>
      </c>
      <c r="F59" s="11"/>
      <c r="G59" s="30" t="s">
        <v>595</v>
      </c>
      <c r="H59" s="1" t="str">
        <f t="shared" ca="1" si="18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19"/>
        <v>createMovieClip</v>
      </c>
      <c r="K59" s="1" t="str">
        <f t="shared" si="32"/>
        <v>BlockRadius_mc</v>
      </c>
      <c r="L59" s="11"/>
      <c r="M59" s="11"/>
      <c r="N59" s="11"/>
      <c r="O59" s="11"/>
      <c r="P59" s="14" t="str">
        <f t="shared" ca="1" si="15"/>
        <v/>
      </c>
      <c r="Q59" s="14" t="str">
        <f t="shared" ca="1" si="26"/>
        <v>BlockRadius_mc::BlockRadius_mc:MovieClip("unit","BlockRadius_mc","BlockRadius_mc"{)</v>
      </c>
    </row>
    <row r="60" spans="1:17" s="12" customFormat="1" x14ac:dyDescent="0.25">
      <c r="A60" s="11" t="s">
        <v>9</v>
      </c>
      <c r="B60" s="11" t="s">
        <v>8</v>
      </c>
      <c r="C60" s="1">
        <f t="shared" ca="1" si="12"/>
        <v>0</v>
      </c>
      <c r="D60" s="11" t="s">
        <v>7</v>
      </c>
      <c r="E60" s="11" t="s">
        <v>134</v>
      </c>
      <c r="F60" s="11"/>
      <c r="G60" s="30" t="s">
        <v>595</v>
      </c>
      <c r="H60" s="1" t="str">
        <f t="shared" ca="1" si="18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19"/>
        <v>createMovieClip</v>
      </c>
      <c r="K60" s="1" t="str">
        <f t="shared" si="32"/>
        <v>RoadUnitFire_mc</v>
      </c>
      <c r="L60" s="11"/>
      <c r="M60" s="11"/>
      <c r="N60" s="11"/>
      <c r="O60" s="11"/>
      <c r="P60" s="14" t="str">
        <f t="shared" ca="1" si="15"/>
        <v/>
      </c>
      <c r="Q60" s="14" t="str">
        <f t="shared" ca="1" si="26"/>
        <v>RoadUnitFire_mc::RoadUnitFire_mc:MovieClip("unit","RoadUnitFire_mc","RoadUnitFire_mc"{)</v>
      </c>
    </row>
    <row r="61" spans="1:17" s="12" customFormat="1" x14ac:dyDescent="0.25">
      <c r="A61" s="11"/>
      <c r="B61" s="11" t="s">
        <v>63</v>
      </c>
      <c r="C61" s="1">
        <f t="shared" ca="1" si="12"/>
        <v>0</v>
      </c>
      <c r="D61" s="11" t="s">
        <v>7</v>
      </c>
      <c r="E61" s="11" t="s">
        <v>134</v>
      </c>
      <c r="F61" s="11"/>
      <c r="G61" s="30" t="s">
        <v>595</v>
      </c>
      <c r="H61" s="1" t="str">
        <f t="shared" ca="1" si="18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19"/>
        <v>createMovieClip</v>
      </c>
      <c r="K61" s="1" t="str">
        <f t="shared" si="32"/>
        <v>Unit23HorisontDeath_mc</v>
      </c>
      <c r="L61" s="11"/>
      <c r="M61" s="11"/>
      <c r="N61" s="11"/>
      <c r="O61" s="11"/>
      <c r="P61" s="14" t="str">
        <f t="shared" ca="1" si="15"/>
        <v/>
      </c>
      <c r="Q61" s="14" t="str">
        <f t="shared" ca="1" si="26"/>
        <v>Unit23HorisontDeath_mc::Unit23HorisontDeath_mc:MovieClip("unit","Unit23HorisontDeath_mc","Unit23HorisontDeath_mc"{)</v>
      </c>
    </row>
    <row r="62" spans="1:17" s="12" customFormat="1" x14ac:dyDescent="0.25">
      <c r="A62" s="11"/>
      <c r="B62" s="11" t="s">
        <v>64</v>
      </c>
      <c r="C62" s="1">
        <f t="shared" ca="1" si="12"/>
        <v>0</v>
      </c>
      <c r="D62" s="11" t="s">
        <v>7</v>
      </c>
      <c r="E62" s="11" t="s">
        <v>134</v>
      </c>
      <c r="F62" s="11"/>
      <c r="G62" s="30" t="s">
        <v>595</v>
      </c>
      <c r="H62" s="1" t="str">
        <f t="shared" ca="1" si="18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19"/>
        <v>createMovieClip</v>
      </c>
      <c r="K62" s="1" t="str">
        <f t="shared" si="32"/>
        <v>Unit23VerticalDeath_mc</v>
      </c>
      <c r="L62" s="11"/>
      <c r="M62" s="11"/>
      <c r="N62" s="11"/>
      <c r="O62" s="11"/>
      <c r="P62" s="14" t="str">
        <f t="shared" ca="1" si="15"/>
        <v/>
      </c>
      <c r="Q62" s="14" t="str">
        <f t="shared" ca="1" si="26"/>
        <v>Unit23VerticalDeath_mc::Unit23VerticalDeath_mc:MovieClip("unit","Unit23VerticalDeath_mc","Unit23VerticalDeath_mc"{)</v>
      </c>
    </row>
    <row r="63" spans="1:17" s="12" customFormat="1" x14ac:dyDescent="0.25">
      <c r="A63" s="11" t="s">
        <v>11</v>
      </c>
      <c r="B63" s="11" t="s">
        <v>13</v>
      </c>
      <c r="C63" s="1">
        <f t="shared" ca="1" si="12"/>
        <v>0</v>
      </c>
      <c r="D63" s="11" t="s">
        <v>7</v>
      </c>
      <c r="E63" s="11" t="s">
        <v>134</v>
      </c>
      <c r="F63" s="11"/>
      <c r="G63" s="30" t="s">
        <v>595</v>
      </c>
      <c r="H63" s="1" t="str">
        <f t="shared" ca="1" si="18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19"/>
        <v>createMovieClip</v>
      </c>
      <c r="K63" s="1" t="str">
        <f t="shared" si="32"/>
        <v>RoadUnitIce_mc</v>
      </c>
      <c r="L63" s="11"/>
      <c r="M63" s="11"/>
      <c r="N63" s="11"/>
      <c r="O63" s="11"/>
      <c r="P63" s="14" t="str">
        <f t="shared" ca="1" si="15"/>
        <v/>
      </c>
      <c r="Q63" s="14" t="str">
        <f t="shared" ca="1" si="26"/>
        <v>RoadUnitIce_mc::RoadUnitIce_mc:MovieClip("unit","RoadUnitIce_mc","RoadUnitIce_mc"{)</v>
      </c>
    </row>
    <row r="64" spans="1:17" s="12" customFormat="1" x14ac:dyDescent="0.25">
      <c r="A64" s="11"/>
      <c r="B64" s="11" t="s">
        <v>65</v>
      </c>
      <c r="C64" s="1">
        <f t="shared" ref="C64:C84" ca="1" si="41">indent(B64)</f>
        <v>0</v>
      </c>
      <c r="D64" s="11" t="s">
        <v>7</v>
      </c>
      <c r="E64" s="11" t="s">
        <v>134</v>
      </c>
      <c r="F64" s="11"/>
      <c r="G64" s="30" t="s">
        <v>595</v>
      </c>
      <c r="H64" s="1" t="str">
        <f t="shared" ca="1" si="18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19"/>
        <v>createMovieClip</v>
      </c>
      <c r="K64" s="1" t="str">
        <f t="shared" si="32"/>
        <v>Unit24HorisontDeath_mc</v>
      </c>
      <c r="L64" s="11"/>
      <c r="M64" s="11"/>
      <c r="N64" s="11"/>
      <c r="O64" s="11"/>
      <c r="P64" s="14" t="str">
        <f t="shared" ca="1" si="15"/>
        <v/>
      </c>
      <c r="Q64" s="14" t="str">
        <f t="shared" ca="1" si="26"/>
        <v>Unit24HorisontDeath_mc::Unit24HorisontDeath_mc:MovieClip("unit","Unit24HorisontDeath_mc","Unit24HorisontDeath_mc"{)</v>
      </c>
    </row>
    <row r="65" spans="1:17" s="12" customFormat="1" x14ac:dyDescent="0.25">
      <c r="A65" s="11"/>
      <c r="B65" s="11" t="s">
        <v>66</v>
      </c>
      <c r="C65" s="1">
        <f t="shared" ca="1" si="41"/>
        <v>0</v>
      </c>
      <c r="D65" s="11" t="s">
        <v>7</v>
      </c>
      <c r="E65" s="11" t="s">
        <v>134</v>
      </c>
      <c r="F65" s="11"/>
      <c r="G65" s="30" t="s">
        <v>595</v>
      </c>
      <c r="H65" s="1" t="str">
        <f t="shared" ca="1" si="18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19"/>
        <v>createMovieClip</v>
      </c>
      <c r="K65" s="1" t="str">
        <f t="shared" si="32"/>
        <v>Unit24VerticalDeath_mc</v>
      </c>
      <c r="L65" s="11"/>
      <c r="M65" s="11"/>
      <c r="N65" s="11"/>
      <c r="O65" s="11"/>
      <c r="P65" s="14" t="str">
        <f t="shared" ca="1" si="15"/>
        <v/>
      </c>
      <c r="Q65" s="14" t="str">
        <f t="shared" ca="1" si="26"/>
        <v>Unit24VerticalDeath_mc::Unit24VerticalDeath_mc:MovieClip("unit","Unit24VerticalDeath_mc","Unit24VerticalDeath_mc"{)</v>
      </c>
    </row>
    <row r="66" spans="1:17" s="12" customFormat="1" x14ac:dyDescent="0.25">
      <c r="A66" s="11" t="s">
        <v>12</v>
      </c>
      <c r="B66" s="11" t="s">
        <v>10</v>
      </c>
      <c r="C66" s="1">
        <f t="shared" ca="1" si="41"/>
        <v>0</v>
      </c>
      <c r="D66" s="11" t="s">
        <v>7</v>
      </c>
      <c r="E66" s="11" t="s">
        <v>134</v>
      </c>
      <c r="F66" s="11"/>
      <c r="G66" s="30" t="s">
        <v>595</v>
      </c>
      <c r="H66" s="1" t="str">
        <f t="shared" ca="1" si="18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19"/>
        <v>createMovieClip</v>
      </c>
      <c r="K66" s="1" t="str">
        <f t="shared" si="32"/>
        <v>RoadUnitStone_mc</v>
      </c>
      <c r="L66" s="11"/>
      <c r="M66" s="11"/>
      <c r="N66" s="11"/>
      <c r="O66" s="11"/>
      <c r="P66" s="14" t="str">
        <f t="shared" ca="1" si="15"/>
        <v/>
      </c>
      <c r="Q66" s="14" t="str">
        <f t="shared" ca="1" si="26"/>
        <v>RoadUnitStone_mc::RoadUnitStone_mc:MovieClip("unit","RoadUnitStone_mc","RoadUnitStone_mc"{)</v>
      </c>
    </row>
    <row r="67" spans="1:17" s="12" customFormat="1" x14ac:dyDescent="0.25">
      <c r="A67" s="11"/>
      <c r="B67" s="11" t="s">
        <v>34</v>
      </c>
      <c r="C67" s="1">
        <f t="shared" ca="1" si="41"/>
        <v>0</v>
      </c>
      <c r="D67" s="11" t="s">
        <v>7</v>
      </c>
      <c r="E67" s="11" t="s">
        <v>134</v>
      </c>
      <c r="F67" s="11"/>
      <c r="G67" s="30" t="s">
        <v>595</v>
      </c>
      <c r="H67" s="1" t="str">
        <f t="shared" ca="1" si="18"/>
        <v>maskCont</v>
      </c>
      <c r="I67" s="1" t="str">
        <f ca="1">IF(C67&lt;2,"this",IF(C67=C66,I66,IF(C67&gt;C66,H66, LOOKUP(1,0/(H$24:H66=I66),I$24:I67))))</f>
        <v>this</v>
      </c>
      <c r="J67" s="1" t="str">
        <f t="shared" si="19"/>
        <v>createMovieClip</v>
      </c>
      <c r="K67" s="1" t="str">
        <f t="shared" si="32"/>
        <v>maskCont</v>
      </c>
      <c r="L67" s="11"/>
      <c r="M67" s="11"/>
      <c r="N67" s="11"/>
      <c r="O67" s="11"/>
      <c r="P67" s="14" t="str">
        <f t="shared" ca="1" si="15"/>
        <v/>
      </c>
      <c r="Q67" s="14" t="str">
        <f t="shared" ca="1" si="26"/>
        <v>MovieClip("unit","maskCont","maskCont"{)</v>
      </c>
    </row>
    <row r="68" spans="1:17" s="12" customFormat="1" x14ac:dyDescent="0.25">
      <c r="A68" s="11"/>
      <c r="B68" s="11" t="s">
        <v>67</v>
      </c>
      <c r="C68" s="1">
        <f t="shared" ca="1" si="41"/>
        <v>0</v>
      </c>
      <c r="D68" s="11" t="s">
        <v>7</v>
      </c>
      <c r="E68" s="11" t="s">
        <v>134</v>
      </c>
      <c r="F68" s="11"/>
      <c r="G68" s="30" t="s">
        <v>595</v>
      </c>
      <c r="H68" s="1" t="str">
        <f t="shared" ca="1" si="18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19"/>
        <v>createMovieClip</v>
      </c>
      <c r="K68" s="1" t="str">
        <f t="shared" si="32"/>
        <v>Unit25HorisontDeath_mc</v>
      </c>
      <c r="L68" s="11"/>
      <c r="M68" s="11"/>
      <c r="N68" s="11"/>
      <c r="O68" s="11"/>
      <c r="P68" s="14" t="str">
        <f t="shared" ca="1" si="15"/>
        <v/>
      </c>
      <c r="Q68" s="14" t="str">
        <f t="shared" ca="1" si="26"/>
        <v>Unit25HorisontDeath_mc::Unit25HorisontDeath_mc:MovieClip("unit","Unit25HorisontDeath_mc","Unit25HorisontDeath_mc"{)</v>
      </c>
    </row>
    <row r="69" spans="1:17" s="12" customFormat="1" x14ac:dyDescent="0.25">
      <c r="A69" s="11"/>
      <c r="B69" s="11" t="s">
        <v>68</v>
      </c>
      <c r="C69" s="1">
        <f t="shared" ca="1" si="41"/>
        <v>0</v>
      </c>
      <c r="D69" s="11" t="s">
        <v>7</v>
      </c>
      <c r="E69" s="11" t="s">
        <v>134</v>
      </c>
      <c r="F69" s="11"/>
      <c r="G69" s="30" t="s">
        <v>595</v>
      </c>
      <c r="H69" s="1" t="str">
        <f t="shared" ca="1" si="18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19"/>
        <v>createMovieClip</v>
      </c>
      <c r="K69" s="1" t="str">
        <f t="shared" si="32"/>
        <v>Unit25VerticalDeath_mc</v>
      </c>
      <c r="L69" s="11"/>
      <c r="M69" s="11"/>
      <c r="N69" s="11"/>
      <c r="O69" s="11"/>
      <c r="P69" s="14" t="str">
        <f t="shared" ca="1" si="15"/>
        <v/>
      </c>
      <c r="Q69" s="14" t="str">
        <f t="shared" ca="1" si="26"/>
        <v>Unit25VerticalDeath_mc::Unit25VerticalDeath_mc:MovieClip("unit","Unit25VerticalDeath_mc","Unit25VerticalDeath_mc"{)</v>
      </c>
    </row>
    <row r="70" spans="1:17" s="12" customFormat="1" x14ac:dyDescent="0.25">
      <c r="A70" s="11" t="s">
        <v>15</v>
      </c>
      <c r="B70" s="11" t="s">
        <v>14</v>
      </c>
      <c r="C70" s="1">
        <f t="shared" ca="1" si="41"/>
        <v>0</v>
      </c>
      <c r="D70" s="11" t="s">
        <v>7</v>
      </c>
      <c r="E70" s="11" t="s">
        <v>134</v>
      </c>
      <c r="F70" s="11"/>
      <c r="G70" s="30" t="s">
        <v>595</v>
      </c>
      <c r="H70" s="1" t="str">
        <f t="shared" ca="1" si="18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19"/>
        <v>createMovieClip</v>
      </c>
      <c r="K70" s="1" t="str">
        <f t="shared" si="32"/>
        <v>RoadUnitLevin_mc</v>
      </c>
      <c r="L70" s="11"/>
      <c r="M70" s="11"/>
      <c r="N70" s="11"/>
      <c r="O70" s="11"/>
      <c r="P70" s="14" t="str">
        <f t="shared" ca="1" si="15"/>
        <v/>
      </c>
      <c r="Q70" s="14" t="str">
        <f t="shared" ca="1" si="26"/>
        <v>RoadUnitLevin_mc::RoadUnitLevin_mc:MovieClip("unit","RoadUnitLevin_mc","RoadUnitLevin_mc"{)</v>
      </c>
    </row>
    <row r="71" spans="1:17" s="12" customFormat="1" x14ac:dyDescent="0.25">
      <c r="A71" s="11"/>
      <c r="B71" s="11" t="s">
        <v>69</v>
      </c>
      <c r="C71" s="1">
        <f t="shared" ca="1" si="41"/>
        <v>0</v>
      </c>
      <c r="D71" s="11" t="s">
        <v>7</v>
      </c>
      <c r="E71" s="11" t="s">
        <v>134</v>
      </c>
      <c r="F71" s="11"/>
      <c r="G71" s="30" t="s">
        <v>595</v>
      </c>
      <c r="H71" s="1" t="str">
        <f t="shared" ca="1" si="18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19"/>
        <v>createMovieClip</v>
      </c>
      <c r="K71" s="1" t="str">
        <f t="shared" si="32"/>
        <v>Unit26HorisontDeath_mc</v>
      </c>
      <c r="L71" s="11"/>
      <c r="M71" s="11"/>
      <c r="N71" s="11"/>
      <c r="O71" s="11"/>
      <c r="P71" s="14" t="str">
        <f t="shared" ca="1" si="15"/>
        <v/>
      </c>
      <c r="Q71" s="14" t="str">
        <f t="shared" ca="1" si="26"/>
        <v>Unit26HorisontDeath_mc::Unit26HorisontDeath_mc:MovieClip("unit","Unit26HorisontDeath_mc","Unit26HorisontDeath_mc"{)</v>
      </c>
    </row>
    <row r="72" spans="1:17" s="12" customFormat="1" x14ac:dyDescent="0.25">
      <c r="A72" s="11"/>
      <c r="B72" s="11" t="s">
        <v>70</v>
      </c>
      <c r="C72" s="1">
        <f t="shared" ca="1" si="41"/>
        <v>0</v>
      </c>
      <c r="D72" s="11" t="s">
        <v>7</v>
      </c>
      <c r="E72" s="11" t="s">
        <v>134</v>
      </c>
      <c r="F72" s="11"/>
      <c r="G72" s="30" t="s">
        <v>595</v>
      </c>
      <c r="H72" s="1" t="str">
        <f t="shared" ca="1" si="18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19"/>
        <v>createMovieClip</v>
      </c>
      <c r="K72" s="1" t="str">
        <f t="shared" si="32"/>
        <v>Unit26VerticalDeath_mc</v>
      </c>
      <c r="L72" s="11"/>
      <c r="M72" s="11"/>
      <c r="N72" s="11"/>
      <c r="O72" s="11"/>
      <c r="P72" s="14" t="str">
        <f t="shared" ca="1" si="15"/>
        <v/>
      </c>
      <c r="Q72" s="14" t="str">
        <f t="shared" ca="1" si="26"/>
        <v>Unit26VerticalDeath_mc::Unit26VerticalDeath_mc:MovieClip("unit","Unit26VerticalDeath_mc","Unit26VerticalDeath_mc"{)</v>
      </c>
    </row>
    <row r="73" spans="1:17" s="12" customFormat="1" x14ac:dyDescent="0.25">
      <c r="A73" s="11" t="s">
        <v>4</v>
      </c>
      <c r="B73" s="11" t="s">
        <v>0</v>
      </c>
      <c r="C73" s="1">
        <f t="shared" ca="1" si="41"/>
        <v>0</v>
      </c>
      <c r="D73" s="11" t="s">
        <v>7</v>
      </c>
      <c r="E73" s="11" t="s">
        <v>134</v>
      </c>
      <c r="F73" s="11"/>
      <c r="G73" s="30" t="s">
        <v>595</v>
      </c>
      <c r="H73" s="1" t="str">
        <f t="shared" ca="1" si="18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19"/>
        <v>createMovieClip</v>
      </c>
      <c r="K73" s="1" t="str">
        <f t="shared" si="32"/>
        <v>UnitTeleportOut_mc</v>
      </c>
      <c r="L73" s="11"/>
      <c r="M73" s="11"/>
      <c r="N73" s="11"/>
      <c r="O73" s="11"/>
      <c r="P73" s="14" t="str">
        <f t="shared" ca="1" si="15"/>
        <v/>
      </c>
      <c r="Q73" s="14" t="str">
        <f t="shared" ca="1" si="26"/>
        <v>UnitTeleportOut_mc::UnitTeleportOut_mc:MovieClip("unit","UnitTeleportOut_mc","UnitTeleportOut_mc"{)</v>
      </c>
    </row>
    <row r="74" spans="1:17" s="12" customFormat="1" x14ac:dyDescent="0.25">
      <c r="A74" s="11"/>
      <c r="B74" s="11" t="s">
        <v>1</v>
      </c>
      <c r="C74" s="1">
        <f t="shared" ca="1" si="41"/>
        <v>0</v>
      </c>
      <c r="D74" s="11" t="s">
        <v>7</v>
      </c>
      <c r="E74" s="11" t="s">
        <v>134</v>
      </c>
      <c r="F74" s="11"/>
      <c r="G74" s="30" t="s">
        <v>595</v>
      </c>
      <c r="H74" s="1" t="str">
        <f t="shared" ca="1" si="18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19"/>
        <v>createMovieClip</v>
      </c>
      <c r="K74" s="1" t="str">
        <f t="shared" si="32"/>
        <v>UnitTeleportIn_mc</v>
      </c>
      <c r="L74" s="11"/>
      <c r="M74" s="11"/>
      <c r="N74" s="11"/>
      <c r="O74" s="11"/>
      <c r="P74" s="14" t="str">
        <f t="shared" ca="1" si="15"/>
        <v/>
      </c>
      <c r="Q74" s="14" t="str">
        <f t="shared" ca="1" si="26"/>
        <v>UnitTeleportIn_mc::UnitTeleportIn_mc:MovieClip("unit","UnitTeleportIn_mc","UnitTeleportIn_mc"{)</v>
      </c>
    </row>
    <row r="75" spans="1:17" s="12" customFormat="1" x14ac:dyDescent="0.25">
      <c r="A75" s="11" t="s">
        <v>26</v>
      </c>
      <c r="B75" s="11" t="s">
        <v>27</v>
      </c>
      <c r="C75" s="1">
        <f t="shared" ca="1" si="41"/>
        <v>0</v>
      </c>
      <c r="D75" s="11" t="s">
        <v>7</v>
      </c>
      <c r="E75" s="11" t="s">
        <v>134</v>
      </c>
      <c r="F75" s="11"/>
      <c r="G75" s="30" t="s">
        <v>595</v>
      </c>
      <c r="H75" s="1" t="str">
        <f t="shared" ca="1" si="18"/>
        <v>giveHealth1</v>
      </c>
      <c r="I75" s="1" t="str">
        <f ca="1">IF(C75&lt;2,"this",IF(C75=C74,I74,IF(C75&gt;C74,H74, LOOKUP(1,0/(H$24:H74=I74),I$24:I75))))</f>
        <v>this</v>
      </c>
      <c r="J75" s="1" t="str">
        <f t="shared" si="19"/>
        <v>createMovieClip</v>
      </c>
      <c r="K75" s="1" t="str">
        <f t="shared" si="32"/>
        <v>giveHealth1</v>
      </c>
      <c r="L75" s="11"/>
      <c r="M75" s="11"/>
      <c r="N75" s="11"/>
      <c r="O75" s="11"/>
      <c r="P75" s="14" t="str">
        <f t="shared" ca="1" si="15"/>
        <v/>
      </c>
      <c r="Q75" s="14" t="str">
        <f t="shared" ca="1" si="26"/>
        <v>MovieClip("unit","giveHealth1","giveHealth1"{)</v>
      </c>
    </row>
    <row r="76" spans="1:17" s="12" customFormat="1" x14ac:dyDescent="0.25">
      <c r="A76" s="11"/>
      <c r="B76" s="11" t="s">
        <v>28</v>
      </c>
      <c r="C76" s="1">
        <f t="shared" ca="1" si="41"/>
        <v>0</v>
      </c>
      <c r="D76" s="11" t="s">
        <v>7</v>
      </c>
      <c r="E76" s="11" t="s">
        <v>134</v>
      </c>
      <c r="F76" s="11"/>
      <c r="G76" s="30" t="s">
        <v>595</v>
      </c>
      <c r="H76" s="1" t="str">
        <f t="shared" ca="1" si="18"/>
        <v>giveHealth2</v>
      </c>
      <c r="I76" s="1" t="str">
        <f ca="1">IF(C76&lt;2,"this",IF(C76=C75,I75,IF(C76&gt;C75,H75, LOOKUP(1,0/(H$24:H75=I75),I$24:I76))))</f>
        <v>this</v>
      </c>
      <c r="J76" s="1" t="str">
        <f t="shared" si="19"/>
        <v>createMovieClip</v>
      </c>
      <c r="K76" s="1" t="str">
        <f t="shared" si="32"/>
        <v>giveHealth2</v>
      </c>
      <c r="L76" s="11"/>
      <c r="M76" s="11"/>
      <c r="N76" s="11"/>
      <c r="O76" s="11"/>
      <c r="P76" s="14" t="str">
        <f t="shared" ca="1" si="15"/>
        <v/>
      </c>
      <c r="Q76" s="14" t="str">
        <f t="shared" ca="1" si="26"/>
        <v>MovieClip("unit","giveHealth2","giveHealth2"{)</v>
      </c>
    </row>
    <row r="77" spans="1:17" s="12" customFormat="1" x14ac:dyDescent="0.25">
      <c r="A77" s="11"/>
      <c r="B77" s="11" t="s">
        <v>29</v>
      </c>
      <c r="C77" s="1">
        <f t="shared" ca="1" si="41"/>
        <v>0</v>
      </c>
      <c r="D77" s="11" t="s">
        <v>7</v>
      </c>
      <c r="E77" s="11" t="s">
        <v>134</v>
      </c>
      <c r="F77" s="11"/>
      <c r="G77" s="30" t="s">
        <v>595</v>
      </c>
      <c r="H77" s="1" t="str">
        <f t="shared" ca="1" si="18"/>
        <v>giveHealth3</v>
      </c>
      <c r="I77" s="1" t="str">
        <f ca="1">IF(C77&lt;2,"this",IF(C77=C76,I76,IF(C77&gt;C76,H76, LOOKUP(1,0/(H$24:H76=I76),I$24:I77))))</f>
        <v>this</v>
      </c>
      <c r="J77" s="1" t="str">
        <f t="shared" si="19"/>
        <v>createMovieClip</v>
      </c>
      <c r="K77" s="1" t="str">
        <f t="shared" si="32"/>
        <v>giveHealth3</v>
      </c>
      <c r="L77" s="11"/>
      <c r="M77" s="11"/>
      <c r="N77" s="11"/>
      <c r="O77" s="11"/>
      <c r="P77" s="14" t="str">
        <f t="shared" ca="1" si="15"/>
        <v/>
      </c>
      <c r="Q77" s="14" t="str">
        <f t="shared" ca="1" si="26"/>
        <v>MovieClip("unit","giveHealth3","giveHealth3"{)</v>
      </c>
    </row>
    <row r="78" spans="1:17" s="12" customFormat="1" x14ac:dyDescent="0.25">
      <c r="A78" s="11" t="s">
        <v>31</v>
      </c>
      <c r="B78" s="11" t="s">
        <v>30</v>
      </c>
      <c r="C78" s="1">
        <f t="shared" ca="1" si="41"/>
        <v>0</v>
      </c>
      <c r="D78" s="11" t="s">
        <v>7</v>
      </c>
      <c r="E78" s="11" t="s">
        <v>134</v>
      </c>
      <c r="F78" s="11"/>
      <c r="G78" s="30" t="s">
        <v>595</v>
      </c>
      <c r="H78" s="1" t="str">
        <f t="shared" ca="1" si="18"/>
        <v>dustAnima</v>
      </c>
      <c r="I78" s="1" t="str">
        <f ca="1">IF(C78&lt;2,"this",IF(C78=C77,I77,IF(C78&gt;C77,H77, LOOKUP(1,0/(H$24:H77=I77),I$24:I78))))</f>
        <v>this</v>
      </c>
      <c r="J78" s="1" t="str">
        <f t="shared" si="19"/>
        <v>createMovieClip</v>
      </c>
      <c r="K78" s="1" t="str">
        <f t="shared" si="32"/>
        <v>dustAnima</v>
      </c>
      <c r="L78" s="11"/>
      <c r="M78" s="11"/>
      <c r="N78" s="11"/>
      <c r="O78" s="11"/>
      <c r="P78" s="14" t="str">
        <f t="shared" ca="1" si="15"/>
        <v/>
      </c>
      <c r="Q78" s="14" t="str">
        <f t="shared" ca="1" si="26"/>
        <v>MovieClip("unit","dustAnima","dustAnima"{)</v>
      </c>
    </row>
    <row r="79" spans="1:17" s="12" customFormat="1" x14ac:dyDescent="0.25">
      <c r="A79" s="11" t="s">
        <v>32</v>
      </c>
      <c r="B79" s="11" t="s">
        <v>30</v>
      </c>
      <c r="C79" s="1">
        <f t="shared" ca="1" si="41"/>
        <v>0</v>
      </c>
      <c r="D79" s="11" t="s">
        <v>7</v>
      </c>
      <c r="E79" s="11" t="s">
        <v>134</v>
      </c>
      <c r="F79" s="11"/>
      <c r="G79" s="30" t="s">
        <v>595</v>
      </c>
      <c r="H79" s="1" t="str">
        <f t="shared" ca="1" si="18"/>
        <v>dustAnima</v>
      </c>
      <c r="I79" s="1" t="str">
        <f ca="1">IF(C79&lt;2,"this",IF(C79=C78,I78,IF(C79&gt;C78,H78, LOOKUP(1,0/(H$24:H78=I78),I$24:I79))))</f>
        <v>this</v>
      </c>
      <c r="J79" s="1" t="str">
        <f t="shared" si="19"/>
        <v>createMovieClip</v>
      </c>
      <c r="K79" s="1" t="str">
        <f t="shared" si="32"/>
        <v>dustAnima</v>
      </c>
      <c r="L79" s="11"/>
      <c r="M79" s="11"/>
      <c r="N79" s="11"/>
      <c r="O79" s="11"/>
      <c r="P79" s="14" t="str">
        <f t="shared" ca="1" si="15"/>
        <v/>
      </c>
      <c r="Q79" s="14" t="str">
        <f t="shared" ca="1" si="26"/>
        <v>MovieClip("unit","dustAnima","dustAnima"{)</v>
      </c>
    </row>
    <row r="80" spans="1:17" s="12" customFormat="1" x14ac:dyDescent="0.25">
      <c r="A80" s="11" t="s">
        <v>16</v>
      </c>
      <c r="B80" s="11" t="s">
        <v>71</v>
      </c>
      <c r="C80" s="1">
        <f t="shared" ca="1" si="41"/>
        <v>0</v>
      </c>
      <c r="D80" s="11" t="s">
        <v>7</v>
      </c>
      <c r="E80" s="11" t="s">
        <v>134</v>
      </c>
      <c r="F80" s="11"/>
      <c r="G80" s="30" t="s">
        <v>595</v>
      </c>
      <c r="H80" s="1" t="str">
        <f t="shared" ca="1" si="18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19"/>
        <v>createMovieClip</v>
      </c>
      <c r="K80" s="1" t="str">
        <f t="shared" si="32"/>
        <v>Unit34Death_mc</v>
      </c>
      <c r="L80" s="11"/>
      <c r="M80" s="11"/>
      <c r="N80" s="11"/>
      <c r="O80" s="11"/>
      <c r="P80" s="14" t="str">
        <f t="shared" ca="1" si="15"/>
        <v/>
      </c>
      <c r="Q80" s="14" t="str">
        <f t="shared" ca="1" si="26"/>
        <v>Unit34Death_mc::Unit34Death_mc:MovieClip("unit","Unit34Death_mc","Unit34Death_mc"{)</v>
      </c>
    </row>
    <row r="81" spans="1:17" s="12" customFormat="1" x14ac:dyDescent="0.25">
      <c r="A81" s="11" t="s">
        <v>125</v>
      </c>
      <c r="B81" s="11" t="s">
        <v>128</v>
      </c>
      <c r="C81" s="1">
        <f t="shared" ca="1" si="41"/>
        <v>0</v>
      </c>
      <c r="D81" s="11" t="s">
        <v>7</v>
      </c>
      <c r="E81" s="11"/>
      <c r="F81" s="11" t="s">
        <v>737</v>
      </c>
      <c r="G81" s="30" t="s">
        <v>595</v>
      </c>
      <c r="H81" s="1" t="str">
        <f t="shared" ca="1" si="18"/>
        <v>NewEnemy_mc</v>
      </c>
      <c r="I81" s="1" t="str">
        <f ca="1">IF(C81&lt;2,"this",IF(C81=C80,I80,IF(C81&gt;C80,H80, LOOKUP(1,0/(H$24:H80=I80),I$24:I81))))</f>
        <v>this</v>
      </c>
      <c r="J81" s="1" t="str">
        <f t="shared" si="19"/>
        <v>createMovieClip</v>
      </c>
      <c r="K81" s="1" t="str">
        <f t="shared" si="32"/>
        <v>NewEnemy_mc</v>
      </c>
      <c r="L81" s="11"/>
      <c r="M81" s="11"/>
      <c r="N81" s="11"/>
      <c r="O81" s="11"/>
      <c r="P81" s="14" t="str">
        <f t="shared" ca="1" si="15"/>
        <v/>
      </c>
      <c r="Q81" s="14" t="str">
        <f t="shared" ca="1" si="26"/>
        <v>NewEnemy_mc::NewEnemy_mc:MovieClip("unit","NewEnemy_mc","NewEnemy_mc"{)</v>
      </c>
    </row>
    <row r="82" spans="1:17" s="10" customFormat="1" x14ac:dyDescent="0.25">
      <c r="A82" s="8"/>
      <c r="B82" s="9" t="s">
        <v>123</v>
      </c>
      <c r="C82" s="1">
        <f t="shared" ca="1" si="41"/>
        <v>1</v>
      </c>
      <c r="D82" s="8" t="s">
        <v>7</v>
      </c>
      <c r="E82" s="1"/>
      <c r="F82" s="1" t="s">
        <v>737</v>
      </c>
      <c r="G82" s="30" t="s">
        <v>691</v>
      </c>
      <c r="H82" s="1" t="str">
        <f t="shared" ca="1" si="18"/>
        <v>newEnemyCase</v>
      </c>
      <c r="I82" s="1" t="str">
        <f ca="1">IF(C82&lt;2,"this",IF(C82=C81,I81,IF(C82&gt;C81,H81, LOOKUP(1,0/(H$24:H81=I81),I$24:I82))))</f>
        <v>this</v>
      </c>
      <c r="J82" s="1" t="str">
        <f t="shared" si="19"/>
        <v>createCase</v>
      </c>
      <c r="K82" s="1" t="str">
        <f t="shared" si="32"/>
        <v>newEnemyCase</v>
      </c>
      <c r="L82" s="8"/>
      <c r="M82" s="8"/>
      <c r="N82" s="8"/>
      <c r="O82" s="8"/>
      <c r="P82" s="14" t="str">
        <f t="shared" ca="1" si="15"/>
        <v>MCCase * newEnemyCase;</v>
      </c>
      <c r="Q82" s="14" t="str">
        <f t="shared" ca="1" si="26"/>
        <v>newEnemyCase= this-&gt;createCase("newEnemyCase");</v>
      </c>
    </row>
    <row r="83" spans="1:17" s="12" customFormat="1" x14ac:dyDescent="0.25">
      <c r="A83" s="11" t="s">
        <v>126</v>
      </c>
      <c r="B83" s="11" t="s">
        <v>127</v>
      </c>
      <c r="C83" s="1">
        <f t="shared" ca="1" si="41"/>
        <v>0</v>
      </c>
      <c r="D83" s="11" t="s">
        <v>7</v>
      </c>
      <c r="E83" s="11"/>
      <c r="F83" s="11" t="s">
        <v>737</v>
      </c>
      <c r="G83" s="30" t="s">
        <v>595</v>
      </c>
      <c r="H83" s="1" t="str">
        <f t="shared" ca="1" si="18"/>
        <v>NewElement_mc</v>
      </c>
      <c r="I83" s="1" t="str">
        <f ca="1">IF(C83&lt;2,"this",IF(C83=C82,I82,IF(C83&gt;C82,H82, LOOKUP(1,0/(H$24:H82=I82),I$24:I83))))</f>
        <v>this</v>
      </c>
      <c r="J83" s="1" t="str">
        <f t="shared" si="19"/>
        <v>createMovieClip</v>
      </c>
      <c r="K83" s="1" t="str">
        <f t="shared" si="32"/>
        <v>NewElement_mc</v>
      </c>
      <c r="L83" s="11"/>
      <c r="M83" s="11"/>
      <c r="N83" s="11"/>
      <c r="O83" s="11"/>
      <c r="P83" s="14" t="str">
        <f t="shared" ca="1" si="15"/>
        <v/>
      </c>
      <c r="Q83" s="14" t="str">
        <f t="shared" ca="1" si="26"/>
        <v>NewElement_mc::NewElement_mc:MovieClip("unit","NewElement_mc","NewElement_mc"{)</v>
      </c>
    </row>
    <row r="84" spans="1:17" s="10" customFormat="1" x14ac:dyDescent="0.25">
      <c r="A84" s="8"/>
      <c r="B84" s="9" t="s">
        <v>124</v>
      </c>
      <c r="C84" s="1">
        <f t="shared" ca="1" si="41"/>
        <v>1</v>
      </c>
      <c r="D84" s="8" t="s">
        <v>7</v>
      </c>
      <c r="E84" s="1"/>
      <c r="F84" s="1" t="s">
        <v>737</v>
      </c>
      <c r="G84" s="30" t="s">
        <v>691</v>
      </c>
      <c r="H84" s="1" t="str">
        <f t="shared" ca="1" si="18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19"/>
        <v>createCase</v>
      </c>
      <c r="K84" s="1" t="str">
        <f t="shared" si="32"/>
        <v>newElementCase</v>
      </c>
      <c r="L84" s="8"/>
      <c r="M84" s="8"/>
      <c r="N84" s="8"/>
      <c r="O84" s="8"/>
      <c r="P84" s="14" t="str">
        <f t="shared" ca="1" si="15"/>
        <v>MCCase * newElementCase;</v>
      </c>
      <c r="Q84" s="14" t="str">
        <f t="shared" ca="1" si="2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4" sqref="B34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" t="s">
        <v>111</v>
      </c>
      <c r="H1" s="2" t="s">
        <v>617</v>
      </c>
      <c r="I1" s="2" t="s">
        <v>597</v>
      </c>
      <c r="J1" s="2" t="s">
        <v>618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s="12" customFormat="1" x14ac:dyDescent="0.25">
      <c r="A2" s="11" t="s">
        <v>43</v>
      </c>
      <c r="B2" s="11" t="s">
        <v>49</v>
      </c>
      <c r="C2" s="1">
        <f t="shared" ref="C2:C33" ca="1" si="0">indent(B2)</f>
        <v>0</v>
      </c>
      <c r="D2" s="11" t="s">
        <v>37</v>
      </c>
      <c r="E2" s="11" t="s">
        <v>722</v>
      </c>
      <c r="F2" s="11" t="s">
        <v>719</v>
      </c>
      <c r="G2" s="21" t="s">
        <v>595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720</v>
      </c>
      <c r="L2" s="11" t="str">
        <f>B2</f>
        <v>Golem1_mc</v>
      </c>
      <c r="M2" s="11"/>
      <c r="N2" s="11"/>
      <c r="O2" s="52" t="s">
        <v>131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Golem1_mc::Golem1_mc:MovieClip("cast","Golem1_mc","Golem_mc"{)</v>
      </c>
    </row>
    <row r="3" spans="1:17" s="12" customFormat="1" x14ac:dyDescent="0.25">
      <c r="A3" s="11"/>
      <c r="B3" s="13" t="s">
        <v>22</v>
      </c>
      <c r="C3" s="1">
        <f t="shared" ca="1" si="0"/>
        <v>1</v>
      </c>
      <c r="D3" s="11" t="s">
        <v>37</v>
      </c>
      <c r="E3" s="11" t="s">
        <v>722</v>
      </c>
      <c r="F3" s="11" t="s">
        <v>719</v>
      </c>
      <c r="G3" s="1" t="s">
        <v>594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22</v>
      </c>
      <c r="L3" s="11" t="str">
        <f t="shared" ref="L3:L9" si="3">B3</f>
        <v>dust1</v>
      </c>
      <c r="M3" s="11"/>
      <c r="N3" s="11"/>
      <c r="O3" s="53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23</v>
      </c>
      <c r="C4" s="1">
        <f t="shared" ca="1" si="0"/>
        <v>1</v>
      </c>
      <c r="D4" s="11" t="s">
        <v>37</v>
      </c>
      <c r="E4" s="11" t="s">
        <v>722</v>
      </c>
      <c r="F4" s="11" t="s">
        <v>719</v>
      </c>
      <c r="G4" s="1" t="s">
        <v>594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23</v>
      </c>
      <c r="L4" s="11" t="str">
        <f t="shared" si="3"/>
        <v>dust2</v>
      </c>
      <c r="M4" s="11"/>
      <c r="N4" s="11"/>
      <c r="O4" s="53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47</v>
      </c>
      <c r="C5" s="1">
        <f t="shared" ca="1" si="0"/>
        <v>0</v>
      </c>
      <c r="D5" s="11" t="s">
        <v>37</v>
      </c>
      <c r="E5" s="11" t="s">
        <v>722</v>
      </c>
      <c r="F5" s="11" t="s">
        <v>719</v>
      </c>
      <c r="G5" s="21" t="s">
        <v>595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720</v>
      </c>
      <c r="L5" s="11" t="str">
        <f t="shared" si="3"/>
        <v>Golem2_mc</v>
      </c>
      <c r="M5" s="11"/>
      <c r="N5" s="11"/>
      <c r="O5" s="53"/>
      <c r="P5" s="14" t="str">
        <f t="shared" ca="1" si="4"/>
        <v/>
      </c>
      <c r="Q5" s="14" t="str">
        <f t="shared" ca="1" si="5"/>
        <v>Golem2_mc::Golem2_mc:MovieClip("cast","Golem2_mc","Golem_mc"{)</v>
      </c>
    </row>
    <row r="6" spans="1:17" s="12" customFormat="1" x14ac:dyDescent="0.25">
      <c r="A6" s="11"/>
      <c r="B6" s="13" t="s">
        <v>22</v>
      </c>
      <c r="C6" s="1">
        <f t="shared" ca="1" si="0"/>
        <v>1</v>
      </c>
      <c r="D6" s="11" t="s">
        <v>37</v>
      </c>
      <c r="E6" s="11" t="s">
        <v>722</v>
      </c>
      <c r="F6" s="11" t="s">
        <v>719</v>
      </c>
      <c r="G6" s="1" t="s">
        <v>594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22</v>
      </c>
      <c r="L6" s="11" t="str">
        <f t="shared" si="3"/>
        <v>dust1</v>
      </c>
      <c r="M6" s="11"/>
      <c r="N6" s="11"/>
      <c r="O6" s="53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23</v>
      </c>
      <c r="C7" s="1">
        <f t="shared" ca="1" si="0"/>
        <v>1</v>
      </c>
      <c r="D7" s="11" t="s">
        <v>37</v>
      </c>
      <c r="E7" s="11" t="s">
        <v>722</v>
      </c>
      <c r="F7" s="11" t="s">
        <v>719</v>
      </c>
      <c r="G7" s="1" t="s">
        <v>594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23</v>
      </c>
      <c r="L7" s="11" t="str">
        <f t="shared" si="3"/>
        <v>dust2</v>
      </c>
      <c r="M7" s="11"/>
      <c r="N7" s="11"/>
      <c r="O7" s="53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48</v>
      </c>
      <c r="C8" s="1">
        <f t="shared" ca="1" si="0"/>
        <v>0</v>
      </c>
      <c r="D8" s="11" t="s">
        <v>37</v>
      </c>
      <c r="E8" s="11" t="s">
        <v>722</v>
      </c>
      <c r="F8" s="11" t="s">
        <v>719</v>
      </c>
      <c r="G8" s="21" t="s">
        <v>595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720</v>
      </c>
      <c r="L8" s="11" t="str">
        <f t="shared" si="3"/>
        <v>Golem3_mc</v>
      </c>
      <c r="M8" s="11"/>
      <c r="N8" s="11"/>
      <c r="O8" s="53"/>
      <c r="P8" s="14" t="str">
        <f t="shared" ca="1" si="4"/>
        <v/>
      </c>
      <c r="Q8" s="14" t="str">
        <f t="shared" ca="1" si="5"/>
        <v>Golem3_mc::Golem3_mc:MovieClip("cast","Golem3_mc","Golem_mc"{)</v>
      </c>
    </row>
    <row r="9" spans="1:17" s="12" customFormat="1" x14ac:dyDescent="0.25">
      <c r="A9" s="11"/>
      <c r="B9" s="13" t="s">
        <v>22</v>
      </c>
      <c r="C9" s="1">
        <f t="shared" ca="1" si="0"/>
        <v>1</v>
      </c>
      <c r="D9" s="11" t="s">
        <v>37</v>
      </c>
      <c r="E9" s="11" t="s">
        <v>722</v>
      </c>
      <c r="F9" s="11" t="s">
        <v>719</v>
      </c>
      <c r="G9" s="1" t="s">
        <v>594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22</v>
      </c>
      <c r="L9" s="11" t="str">
        <f t="shared" si="3"/>
        <v>dust1</v>
      </c>
      <c r="M9" s="11"/>
      <c r="N9" s="11"/>
      <c r="O9" s="53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23</v>
      </c>
      <c r="C10" s="1">
        <f t="shared" ca="1" si="0"/>
        <v>1</v>
      </c>
      <c r="D10" s="11" t="s">
        <v>37</v>
      </c>
      <c r="E10" s="11" t="s">
        <v>722</v>
      </c>
      <c r="F10" s="11" t="s">
        <v>719</v>
      </c>
      <c r="G10" s="1" t="s">
        <v>594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23</v>
      </c>
      <c r="L10" s="11" t="str">
        <f>B10</f>
        <v>dust2</v>
      </c>
      <c r="M10" s="11"/>
      <c r="N10" s="11"/>
      <c r="O10" s="54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48" t="s">
        <v>133</v>
      </c>
      <c r="C11" s="1">
        <f t="shared" ca="1" si="0"/>
        <v>0</v>
      </c>
      <c r="D11" s="11" t="s">
        <v>37</v>
      </c>
      <c r="E11" s="11" t="s">
        <v>722</v>
      </c>
      <c r="F11" s="11" t="s">
        <v>719</v>
      </c>
      <c r="G11" s="21" t="s">
        <v>595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48" t="s">
        <v>72</v>
      </c>
      <c r="C12" s="1">
        <f t="shared" ca="1" si="0"/>
        <v>0</v>
      </c>
      <c r="D12" s="11" t="s">
        <v>37</v>
      </c>
      <c r="E12" s="11" t="s">
        <v>722</v>
      </c>
      <c r="F12" s="11" t="s">
        <v>719</v>
      </c>
      <c r="G12" s="21" t="s">
        <v>595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48" t="s">
        <v>73</v>
      </c>
      <c r="C13" s="1">
        <f t="shared" ca="1" si="0"/>
        <v>0</v>
      </c>
      <c r="D13" s="11" t="s">
        <v>37</v>
      </c>
      <c r="E13" s="11" t="s">
        <v>722</v>
      </c>
      <c r="F13" s="11" t="s">
        <v>719</v>
      </c>
      <c r="G13" s="21" t="s">
        <v>595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48" t="s">
        <v>74</v>
      </c>
      <c r="C14" s="1">
        <f t="shared" ca="1" si="0"/>
        <v>0</v>
      </c>
      <c r="D14" s="11" t="s">
        <v>37</v>
      </c>
      <c r="E14" s="11" t="s">
        <v>722</v>
      </c>
      <c r="F14" s="11" t="s">
        <v>719</v>
      </c>
      <c r="G14" s="21" t="s">
        <v>595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48" t="s">
        <v>75</v>
      </c>
      <c r="C15" s="1">
        <f t="shared" ca="1" si="0"/>
        <v>0</v>
      </c>
      <c r="D15" s="11" t="s">
        <v>37</v>
      </c>
      <c r="E15" s="11" t="s">
        <v>722</v>
      </c>
      <c r="F15" s="11" t="s">
        <v>719</v>
      </c>
      <c r="G15" s="21" t="s">
        <v>595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48" t="s">
        <v>76</v>
      </c>
      <c r="C16" s="1">
        <f t="shared" ca="1" si="0"/>
        <v>0</v>
      </c>
      <c r="D16" s="11" t="s">
        <v>37</v>
      </c>
      <c r="E16" s="11" t="s">
        <v>722</v>
      </c>
      <c r="F16" s="11" t="s">
        <v>719</v>
      </c>
      <c r="G16" s="21" t="s">
        <v>595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139</v>
      </c>
      <c r="B17" s="48" t="s">
        <v>56</v>
      </c>
      <c r="C17" s="1">
        <f t="shared" ca="1" si="0"/>
        <v>0</v>
      </c>
      <c r="D17" s="11" t="s">
        <v>37</v>
      </c>
      <c r="E17" s="11" t="s">
        <v>722</v>
      </c>
      <c r="F17" s="1" t="s">
        <v>719</v>
      </c>
      <c r="G17" s="21" t="s">
        <v>595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46</v>
      </c>
      <c r="B18" s="1" t="s">
        <v>129</v>
      </c>
      <c r="C18" s="1">
        <f t="shared" ca="1" si="0"/>
        <v>0</v>
      </c>
      <c r="D18" s="1" t="s">
        <v>37</v>
      </c>
      <c r="E18" s="11" t="s">
        <v>722</v>
      </c>
      <c r="F18" s="1" t="s">
        <v>719</v>
      </c>
      <c r="G18" s="21" t="s">
        <v>595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45</v>
      </c>
      <c r="C19" s="1">
        <f t="shared" ca="1" si="0"/>
        <v>0</v>
      </c>
      <c r="D19" s="1" t="s">
        <v>37</v>
      </c>
      <c r="E19" s="11" t="s">
        <v>722</v>
      </c>
      <c r="F19" s="1" t="s">
        <v>719</v>
      </c>
      <c r="G19" s="21" t="s">
        <v>595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48" t="s">
        <v>723</v>
      </c>
      <c r="C20" s="1">
        <f t="shared" ca="1" si="0"/>
        <v>0</v>
      </c>
      <c r="D20" s="1" t="s">
        <v>37</v>
      </c>
      <c r="E20" s="11" t="s">
        <v>722</v>
      </c>
      <c r="F20" s="1" t="s">
        <v>719</v>
      </c>
      <c r="G20" s="21" t="s">
        <v>595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48" t="s">
        <v>137</v>
      </c>
      <c r="C21" s="1">
        <f t="shared" ca="1" si="0"/>
        <v>0</v>
      </c>
      <c r="D21" s="1" t="s">
        <v>37</v>
      </c>
      <c r="E21" s="11" t="s">
        <v>722</v>
      </c>
      <c r="F21" s="1" t="s">
        <v>719</v>
      </c>
      <c r="G21" s="21" t="s">
        <v>595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48" t="s">
        <v>77</v>
      </c>
      <c r="C22" s="1">
        <f t="shared" ca="1" si="0"/>
        <v>0</v>
      </c>
      <c r="D22" s="1" t="s">
        <v>37</v>
      </c>
      <c r="E22" s="11" t="s">
        <v>722</v>
      </c>
      <c r="F22" s="1" t="s">
        <v>719</v>
      </c>
      <c r="G22" s="21" t="s">
        <v>595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140</v>
      </c>
      <c r="B23" s="48" t="s">
        <v>138</v>
      </c>
      <c r="C23" s="1">
        <f t="shared" ca="1" si="0"/>
        <v>0</v>
      </c>
      <c r="D23" s="1" t="s">
        <v>37</v>
      </c>
      <c r="E23" s="11" t="s">
        <v>722</v>
      </c>
      <c r="F23" s="1" t="s">
        <v>719</v>
      </c>
      <c r="G23" s="21" t="s">
        <v>595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42</v>
      </c>
      <c r="B24" s="1" t="s">
        <v>50</v>
      </c>
      <c r="C24" s="1">
        <f t="shared" ca="1" si="0"/>
        <v>0</v>
      </c>
      <c r="D24" s="1" t="s">
        <v>37</v>
      </c>
      <c r="E24" s="11" t="s">
        <v>722</v>
      </c>
      <c r="F24" s="1" t="s">
        <v>719</v>
      </c>
      <c r="G24" s="21" t="s">
        <v>595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"/>
      <c r="O24" s="55" t="s">
        <v>132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37</v>
      </c>
      <c r="E25" s="11" t="s">
        <v>722</v>
      </c>
      <c r="F25" s="1" t="s">
        <v>719</v>
      </c>
      <c r="G25" s="1" t="s">
        <v>594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"/>
      <c r="O25" s="56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724</v>
      </c>
      <c r="C26" s="1">
        <f t="shared" ca="1" si="0"/>
        <v>2</v>
      </c>
      <c r="D26" s="1" t="s">
        <v>37</v>
      </c>
      <c r="E26" s="11" t="s">
        <v>722</v>
      </c>
      <c r="F26" s="1" t="s">
        <v>719</v>
      </c>
      <c r="G26" s="1" t="s">
        <v>594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"/>
      <c r="O26" s="56"/>
      <c r="P26" s="14" t="str">
        <f t="shared" ca="1" si="4"/>
        <v>MovieClipSub * contBlowing;</v>
      </c>
      <c r="Q26" s="14" t="str">
        <f t="shared" ca="1" si="5"/>
        <v>contBlowing= cont-&gt;createMovieClipSub("blowing");</v>
      </c>
    </row>
    <row r="27" spans="1:17" x14ac:dyDescent="0.25">
      <c r="A27" s="1"/>
      <c r="B27" s="3" t="s">
        <v>22</v>
      </c>
      <c r="C27" s="1">
        <f t="shared" ca="1" si="0"/>
        <v>1</v>
      </c>
      <c r="D27" s="1" t="s">
        <v>37</v>
      </c>
      <c r="E27" s="11" t="s">
        <v>722</v>
      </c>
      <c r="F27" s="1" t="s">
        <v>719</v>
      </c>
      <c r="G27" s="1" t="s">
        <v>594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"/>
      <c r="O27" s="56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23</v>
      </c>
      <c r="C28" s="1">
        <f t="shared" ca="1" si="0"/>
        <v>1</v>
      </c>
      <c r="D28" s="1" t="s">
        <v>37</v>
      </c>
      <c r="E28" s="11" t="s">
        <v>722</v>
      </c>
      <c r="F28" s="1" t="s">
        <v>719</v>
      </c>
      <c r="G28" s="1" t="s">
        <v>594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"/>
      <c r="O28" s="57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51</v>
      </c>
      <c r="C29" s="1">
        <f t="shared" ca="1" si="0"/>
        <v>0</v>
      </c>
      <c r="D29" s="1" t="s">
        <v>37</v>
      </c>
      <c r="E29" s="11" t="s">
        <v>722</v>
      </c>
      <c r="F29" s="1" t="s">
        <v>719</v>
      </c>
      <c r="G29" s="21" t="s">
        <v>595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"/>
      <c r="O29" s="55" t="s">
        <v>130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38</v>
      </c>
      <c r="C30" s="1">
        <f t="shared" ca="1" si="0"/>
        <v>1</v>
      </c>
      <c r="D30" s="1" t="s">
        <v>37</v>
      </c>
      <c r="E30" s="11" t="s">
        <v>722</v>
      </c>
      <c r="F30" s="1" t="s">
        <v>719</v>
      </c>
      <c r="G30" s="1" t="s">
        <v>594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"/>
      <c r="O30" s="56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39</v>
      </c>
      <c r="C31" s="1">
        <f t="shared" ca="1" si="0"/>
        <v>1</v>
      </c>
      <c r="D31" s="1" t="s">
        <v>37</v>
      </c>
      <c r="E31" s="11" t="s">
        <v>722</v>
      </c>
      <c r="F31" s="1" t="s">
        <v>719</v>
      </c>
      <c r="G31" s="1" t="s">
        <v>594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"/>
      <c r="O31" s="56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40</v>
      </c>
      <c r="C32" s="1">
        <f t="shared" ca="1" si="0"/>
        <v>1</v>
      </c>
      <c r="D32" s="1" t="s">
        <v>37</v>
      </c>
      <c r="E32" s="11" t="s">
        <v>722</v>
      </c>
      <c r="F32" s="1" t="s">
        <v>719</v>
      </c>
      <c r="G32" s="1" t="s">
        <v>594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"/>
      <c r="O32" s="56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41</v>
      </c>
      <c r="C33" s="1">
        <f t="shared" ca="1" si="0"/>
        <v>1</v>
      </c>
      <c r="D33" s="1" t="s">
        <v>37</v>
      </c>
      <c r="E33" s="11" t="s">
        <v>722</v>
      </c>
      <c r="F33" s="1" t="s">
        <v>719</v>
      </c>
      <c r="G33" s="1" t="s">
        <v>594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"/>
      <c r="O33" s="57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0"/>
  <sheetViews>
    <sheetView zoomScale="85" zoomScaleNormal="85" workbookViewId="0">
      <pane xSplit="2" ySplit="1" topLeftCell="J26" activePane="bottomRight" state="frozen"/>
      <selection pane="topRight" activeCell="C1" sqref="C1"/>
      <selection pane="bottomLeft" activeCell="A2" sqref="A2"/>
      <selection pane="bottomRight" activeCell="J44" sqref="J44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617</v>
      </c>
      <c r="I1" s="2" t="s">
        <v>597</v>
      </c>
      <c r="J1" s="2" t="s">
        <v>618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x14ac:dyDescent="0.25">
      <c r="A2" s="1" t="s">
        <v>78</v>
      </c>
      <c r="B2" s="21" t="s">
        <v>694</v>
      </c>
      <c r="C2" s="1">
        <f t="shared" ref="C2:C85" ca="1" si="0">indent(B2)</f>
        <v>0</v>
      </c>
      <c r="D2" s="1" t="s">
        <v>82</v>
      </c>
      <c r="E2" s="1" t="s">
        <v>142</v>
      </c>
      <c r="F2" s="1" t="s">
        <v>134</v>
      </c>
      <c r="G2" s="21" t="s">
        <v>595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105</v>
      </c>
      <c r="B3" s="21" t="s">
        <v>695</v>
      </c>
      <c r="C3" s="1">
        <f t="shared" ca="1" si="0"/>
        <v>0</v>
      </c>
      <c r="D3" s="1" t="s">
        <v>82</v>
      </c>
      <c r="E3" s="1" t="s">
        <v>142</v>
      </c>
      <c r="F3" s="1" t="s">
        <v>134</v>
      </c>
      <c r="G3" s="21" t="s">
        <v>595</v>
      </c>
      <c r="H3" s="1" t="str">
        <f t="shared" ref="H3:H86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73" si="2">CONCATENATE("create",IF(LEFT(G3,2)="MC",MID(G3,3,LEN(G3)),G3))</f>
        <v>createMovieClip</v>
      </c>
      <c r="K3" s="1" t="str">
        <f t="shared" ref="K3:K86" si="3">B3</f>
        <v>BuildTowerMenu_mc</v>
      </c>
      <c r="L3" s="1" t="str">
        <f t="shared" ref="L3:L86" si="4">B3</f>
        <v>BuildTowerMenu_mc</v>
      </c>
      <c r="M3" s="1"/>
      <c r="N3" s="1"/>
      <c r="O3" s="1"/>
      <c r="P3" s="14" t="str">
        <f t="shared" ref="P3:P73" ca="1" si="5">IF(C3&gt;0,G3 &amp; " * "&amp;H3 &amp;";","")</f>
        <v/>
      </c>
      <c r="Q3" s="14" t="str">
        <f t="shared" ref="Q3:Q73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106</v>
      </c>
      <c r="C4" s="1">
        <f t="shared" ca="1" si="0"/>
        <v>1</v>
      </c>
      <c r="D4" s="1" t="s">
        <v>82</v>
      </c>
      <c r="E4" s="1" t="s">
        <v>134</v>
      </c>
      <c r="F4" s="1" t="s">
        <v>134</v>
      </c>
      <c r="G4" s="1" t="s">
        <v>594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141</v>
      </c>
      <c r="C5" s="1">
        <f t="shared" ca="1" si="0"/>
        <v>2</v>
      </c>
      <c r="D5" s="1" t="s">
        <v>82</v>
      </c>
      <c r="E5" s="1" t="s">
        <v>134</v>
      </c>
      <c r="F5" s="1" t="s">
        <v>134</v>
      </c>
      <c r="G5" s="1" t="s">
        <v>682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107</v>
      </c>
      <c r="C6" s="1">
        <f t="shared" ca="1" si="0"/>
        <v>2</v>
      </c>
      <c r="D6" s="1" t="s">
        <v>82</v>
      </c>
      <c r="E6" s="1" t="s">
        <v>134</v>
      </c>
      <c r="F6" s="1" t="s">
        <v>134</v>
      </c>
      <c r="G6" s="1" t="s">
        <v>684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143</v>
      </c>
      <c r="B7" s="23" t="s">
        <v>677</v>
      </c>
      <c r="C7" s="38">
        <f t="shared" ca="1" si="0"/>
        <v>0</v>
      </c>
      <c r="D7" s="38" t="s">
        <v>82</v>
      </c>
      <c r="E7" s="38" t="s">
        <v>670</v>
      </c>
      <c r="F7" s="1" t="s">
        <v>134</v>
      </c>
      <c r="G7" s="21" t="s">
        <v>595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66" t="s">
        <v>693</v>
      </c>
      <c r="B8" s="39" t="s">
        <v>106</v>
      </c>
      <c r="C8" s="38">
        <f t="shared" ca="1" si="0"/>
        <v>1</v>
      </c>
      <c r="D8" s="38" t="s">
        <v>82</v>
      </c>
      <c r="E8" s="38" t="s">
        <v>670</v>
      </c>
      <c r="F8" s="1" t="s">
        <v>134</v>
      </c>
      <c r="G8" s="1" t="s">
        <v>594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67"/>
      <c r="B9" s="40" t="s">
        <v>112</v>
      </c>
      <c r="C9" s="38">
        <f t="shared" ca="1" si="0"/>
        <v>2</v>
      </c>
      <c r="D9" s="38" t="s">
        <v>82</v>
      </c>
      <c r="E9" s="38" t="s">
        <v>670</v>
      </c>
      <c r="F9" s="1" t="s">
        <v>134</v>
      </c>
      <c r="G9" s="1" t="s">
        <v>594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67"/>
      <c r="B10" s="41" t="s">
        <v>113</v>
      </c>
      <c r="C10" s="38">
        <f t="shared" ca="1" si="0"/>
        <v>3</v>
      </c>
      <c r="D10" s="38" t="s">
        <v>82</v>
      </c>
      <c r="E10" s="38" t="s">
        <v>670</v>
      </c>
      <c r="F10" s="1" t="s">
        <v>134</v>
      </c>
      <c r="G10" s="1" t="s">
        <v>594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67"/>
      <c r="B11" s="41" t="s">
        <v>114</v>
      </c>
      <c r="C11" s="38">
        <f t="shared" ca="1" si="0"/>
        <v>3</v>
      </c>
      <c r="D11" s="38" t="s">
        <v>82</v>
      </c>
      <c r="E11" s="38" t="s">
        <v>670</v>
      </c>
      <c r="F11" s="1" t="s">
        <v>134</v>
      </c>
      <c r="G11" s="1" t="s">
        <v>594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735</v>
      </c>
      <c r="C12" s="1">
        <f t="shared" ca="1" si="0"/>
        <v>0</v>
      </c>
      <c r="D12" s="1" t="s">
        <v>82</v>
      </c>
      <c r="E12" s="1" t="s">
        <v>134</v>
      </c>
      <c r="F12" s="1" t="s">
        <v>134</v>
      </c>
      <c r="G12" s="1" t="s">
        <v>594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6"/>
      <c r="N12" s="6"/>
      <c r="O12" s="6"/>
      <c r="P12" s="14" t="str">
        <f t="shared" ref="P12" ca="1" si="11">IF(C12&gt;0,G12 &amp; " * "&amp;H12 &amp;";","")</f>
        <v/>
      </c>
      <c r="Q12" s="14" t="str">
        <f t="shared" ref="Q12" ca="1" si="12">IF(C12&gt;0,H12&amp;"= "&amp;I12&amp;"-&gt;"&amp;J12&amp;"("""&amp;K12&amp;""")"&amp;";",IF(RIGHT(B12,3)&lt;&gt;"_mc",G12&amp;"("""&amp;D12&amp;""","""&amp;B12&amp;""","""&amp;K12&amp;"""{)",B12&amp;"::"&amp;B12&amp;":"&amp;G12&amp;"("""&amp;D12&amp;""","""&amp;B12&amp;""","""&amp;K12&amp;"""{)"))</f>
        <v>TowerMenuSphere_mc::TowerMenuSphere_mc:MovieClipSub("tower","TowerMenuSphere_mc","TowerMenuSphere_mc"{)</v>
      </c>
    </row>
    <row r="13" spans="1:17" x14ac:dyDescent="0.25">
      <c r="A13" s="1" t="s">
        <v>736</v>
      </c>
      <c r="B13" s="50" t="s">
        <v>20</v>
      </c>
      <c r="C13" s="1">
        <f t="shared" ref="C13" ca="1" si="13">indent(B13)</f>
        <v>1</v>
      </c>
      <c r="D13" s="1" t="s">
        <v>82</v>
      </c>
      <c r="E13" s="1" t="s">
        <v>134</v>
      </c>
      <c r="F13" s="1" t="s">
        <v>134</v>
      </c>
      <c r="G13" s="1" t="s">
        <v>594</v>
      </c>
      <c r="H13" s="1" t="str">
        <f t="shared" ref="H13" ca="1" si="14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5">CONCATENATE("create",IF(LEFT(G13,2)="MC",MID(G13,3,LEN(G13)),G13))</f>
        <v>createMovieClipSub</v>
      </c>
      <c r="K13" s="1" t="str">
        <f t="shared" ref="K13" si="16">B13</f>
        <v>cont</v>
      </c>
      <c r="L13" s="1" t="str">
        <f t="shared" ref="L13" si="17">B13</f>
        <v>cont</v>
      </c>
      <c r="M13" s="6"/>
      <c r="N13" s="6"/>
      <c r="O13" s="6"/>
      <c r="P13" s="14" t="str">
        <f t="shared" ref="P13" ca="1" si="18">IF(C13&gt;0,G13 &amp; " * "&amp;H13 &amp;";","")</f>
        <v>MovieClipSub * cont;</v>
      </c>
      <c r="Q13" s="14" t="str">
        <f t="shared" ref="Q13" ca="1" si="19">IF(C13&gt;0,H13&amp;"= "&amp;I13&amp;"-&gt;"&amp;J13&amp;"("""&amp;K13&amp;""")"&amp;";",IF(RIGHT(B13,3)&lt;&gt;"_mc",G13&amp;"("""&amp;D13&amp;""","""&amp;B13&amp;""","""&amp;K13&amp;"""{)",B13&amp;"::"&amp;B13&amp;":"&amp;G13&amp;"("""&amp;D13&amp;""","""&amp;B13&amp;""","""&amp;K13&amp;"""{)"))</f>
        <v>cont= this-&gt;createMovieClipSub("cont");</v>
      </c>
    </row>
    <row r="14" spans="1:17" x14ac:dyDescent="0.25">
      <c r="A14" s="1"/>
      <c r="B14" s="21" t="s">
        <v>671</v>
      </c>
      <c r="C14" s="1">
        <f t="shared" ca="1" si="0"/>
        <v>0</v>
      </c>
      <c r="D14" s="1" t="s">
        <v>82</v>
      </c>
      <c r="E14" s="1" t="s">
        <v>134</v>
      </c>
      <c r="F14" s="1" t="s">
        <v>134</v>
      </c>
      <c r="G14" s="21" t="s">
        <v>595</v>
      </c>
      <c r="H14" s="1" t="str">
        <f t="shared" ca="1" si="1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2"/>
        <v>createMovieClip</v>
      </c>
      <c r="K14" s="1" t="str">
        <f t="shared" si="3"/>
        <v>TowerMenu_mc</v>
      </c>
      <c r="L14" s="1" t="str">
        <f t="shared" si="4"/>
        <v>TowerMenu_mc</v>
      </c>
      <c r="M14" s="1"/>
      <c r="N14" s="1"/>
      <c r="O14" s="1"/>
      <c r="P14" s="14" t="str">
        <f t="shared" ca="1" si="5"/>
        <v/>
      </c>
      <c r="Q14" s="14" t="str">
        <f t="shared" ca="1" si="6"/>
        <v>TowerMenu_mc::TowerMenu_mc:MovieClip("tower","TowerMenu_mc","TowerMenu_mc"{)</v>
      </c>
    </row>
    <row r="15" spans="1:17" x14ac:dyDescent="0.25">
      <c r="A15" s="1"/>
      <c r="B15" s="3" t="s">
        <v>696</v>
      </c>
      <c r="C15" s="1">
        <f t="shared" ca="1" si="0"/>
        <v>1</v>
      </c>
      <c r="D15" s="1" t="s">
        <v>82</v>
      </c>
      <c r="E15" s="1" t="s">
        <v>134</v>
      </c>
      <c r="F15" s="1" t="s">
        <v>134</v>
      </c>
      <c r="G15" s="1" t="s">
        <v>594</v>
      </c>
      <c r="H15" s="1" t="str">
        <f t="shared" ca="1" si="1"/>
        <v>btnGetAll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btnGetAll</v>
      </c>
      <c r="L15" s="1" t="str">
        <f t="shared" si="4"/>
        <v>btnGetAll</v>
      </c>
      <c r="M15" s="1"/>
      <c r="N15" s="1"/>
      <c r="O15" s="1"/>
      <c r="P15" s="14" t="str">
        <f t="shared" ca="1" si="5"/>
        <v>MovieClipSub * btnGetAll;</v>
      </c>
      <c r="Q15" s="14" t="str">
        <f t="shared" ca="1" si="6"/>
        <v>btnGetAll= this-&gt;createMovieClipSub("btnGetAll");</v>
      </c>
    </row>
    <row r="16" spans="1:17" x14ac:dyDescent="0.25">
      <c r="A16" s="1"/>
      <c r="B16" s="4" t="s">
        <v>676</v>
      </c>
      <c r="C16" s="1">
        <f t="shared" ca="1" si="0"/>
        <v>2</v>
      </c>
      <c r="D16" s="1" t="s">
        <v>82</v>
      </c>
      <c r="E16" s="1" t="s">
        <v>134</v>
      </c>
      <c r="F16" s="1" t="s">
        <v>134</v>
      </c>
      <c r="G16" s="1" t="s">
        <v>682</v>
      </c>
      <c r="H16" s="1" t="str">
        <f t="shared" ca="1" si="1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2"/>
        <v>createCase</v>
      </c>
      <c r="K16" s="1" t="str">
        <f t="shared" ref="K16" si="20">B16</f>
        <v>btnGetAllCase</v>
      </c>
      <c r="L16" s="1" t="str">
        <f t="shared" ref="L16" si="21">B16</f>
        <v>btnGetAllCase</v>
      </c>
      <c r="M16" s="1"/>
      <c r="N16" s="1"/>
      <c r="O16" s="1"/>
      <c r="P16" s="14" t="str">
        <f t="shared" ca="1" si="5"/>
        <v>MCCase * btnGetAllBtnGetAllCase;</v>
      </c>
      <c r="Q16" s="14" t="str">
        <f t="shared" ca="1" si="6"/>
        <v>btnGetAllBtnGetAllCase= btnGetAll-&gt;createCase("btnGetAllCase");</v>
      </c>
    </row>
    <row r="17" spans="1:17" x14ac:dyDescent="0.25">
      <c r="A17" s="1"/>
      <c r="B17" s="3" t="s">
        <v>623</v>
      </c>
      <c r="C17" s="1">
        <f t="shared" ca="1" si="0"/>
        <v>1</v>
      </c>
      <c r="D17" s="1" t="s">
        <v>82</v>
      </c>
      <c r="E17" s="1" t="s">
        <v>134</v>
      </c>
      <c r="F17" s="1" t="s">
        <v>134</v>
      </c>
      <c r="G17" s="1" t="s">
        <v>594</v>
      </c>
      <c r="H17" s="1" t="str">
        <f t="shared" ca="1" si="1"/>
        <v>btnTowerUpgr1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 t="shared" si="3"/>
        <v>btnTowerUpgr1</v>
      </c>
      <c r="L17" s="1" t="str">
        <f t="shared" si="4"/>
        <v>btnTowerUpgr1</v>
      </c>
      <c r="M17" s="1"/>
      <c r="N17" s="1"/>
      <c r="O17" s="1"/>
      <c r="P17" s="14" t="str">
        <f t="shared" ca="1" si="5"/>
        <v>MovieClipSub * btnTowerUpgr1;</v>
      </c>
      <c r="Q17" s="14" t="str">
        <f t="shared" ca="1" si="6"/>
        <v>btnTowerUpgr1= this-&gt;createMovieClipSub("btnTowerUpgr1");</v>
      </c>
    </row>
    <row r="18" spans="1:17" x14ac:dyDescent="0.25">
      <c r="A18" s="1"/>
      <c r="B18" s="4" t="s">
        <v>681</v>
      </c>
      <c r="C18" s="1">
        <f t="shared" ref="C18" ca="1" si="22">indent(B18)</f>
        <v>2</v>
      </c>
      <c r="D18" s="1" t="s">
        <v>82</v>
      </c>
      <c r="E18" s="1" t="s">
        <v>134</v>
      </c>
      <c r="F18" s="1" t="s">
        <v>134</v>
      </c>
      <c r="G18" s="1" t="s">
        <v>682</v>
      </c>
      <c r="H18" s="1" t="str">
        <f t="shared" ref="H18" ca="1" si="23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createCase</v>
      </c>
      <c r="K18" s="1" t="str">
        <f t="shared" ref="K18" si="24">B18</f>
        <v>btnTowerUpgrCase</v>
      </c>
      <c r="L18" s="1" t="str">
        <f t="shared" ref="L18" si="25">B18</f>
        <v>btnTowerUpgrCase</v>
      </c>
      <c r="M18" s="1"/>
      <c r="N18" s="1"/>
      <c r="O18" s="1"/>
      <c r="P18" s="14" t="str">
        <f t="shared" ca="1" si="5"/>
        <v>MCCase * btnTowerUpgr1BtnTowerUpgrCase;</v>
      </c>
      <c r="Q18" s="14" t="str">
        <f t="shared" ca="1" si="6"/>
        <v>btnTowerUpgr1BtnTowerUpgrCase= btnTowerUpgr1-&gt;createCase("btnTowerUpgrCase");</v>
      </c>
    </row>
    <row r="19" spans="1:17" x14ac:dyDescent="0.25">
      <c r="A19" s="1"/>
      <c r="B19" s="4" t="s">
        <v>107</v>
      </c>
      <c r="C19" s="1">
        <f t="shared" ca="1" si="0"/>
        <v>2</v>
      </c>
      <c r="D19" s="1" t="s">
        <v>82</v>
      </c>
      <c r="E19" s="1" t="s">
        <v>134</v>
      </c>
      <c r="F19" s="1" t="s">
        <v>134</v>
      </c>
      <c r="G19" s="1" t="s">
        <v>684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2"/>
        <v>createText</v>
      </c>
      <c r="K19" s="1" t="str">
        <f t="shared" si="3"/>
        <v>costTXT</v>
      </c>
      <c r="L19" s="1" t="str">
        <f t="shared" si="4"/>
        <v>costTXT</v>
      </c>
      <c r="M19" s="1"/>
      <c r="N19" s="1"/>
      <c r="O19" s="1"/>
      <c r="P19" s="14" t="str">
        <f t="shared" ca="1" si="5"/>
        <v>MCText * btnTowerUpgr1CostTXT;</v>
      </c>
      <c r="Q19" s="14" t="str">
        <f t="shared" ca="1" si="6"/>
        <v>btnTowerUpgr1CostTXT= btnTowerUpgr1-&gt;createText("costTXT");</v>
      </c>
    </row>
    <row r="20" spans="1:17" x14ac:dyDescent="0.25">
      <c r="A20" s="1"/>
      <c r="B20" s="3" t="s">
        <v>622</v>
      </c>
      <c r="C20" s="1">
        <f t="shared" ca="1" si="0"/>
        <v>1</v>
      </c>
      <c r="D20" s="1" t="s">
        <v>82</v>
      </c>
      <c r="E20" s="1" t="s">
        <v>134</v>
      </c>
      <c r="F20" s="1" t="s">
        <v>134</v>
      </c>
      <c r="G20" s="1" t="s">
        <v>594</v>
      </c>
      <c r="H20" s="1" t="str">
        <f t="shared" ca="1" si="1"/>
        <v>btnTowerUpgr2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createMovieClipSub</v>
      </c>
      <c r="K20" s="1" t="str">
        <f t="shared" si="3"/>
        <v>btnTowerUpgr2</v>
      </c>
      <c r="L20" s="1" t="str">
        <f t="shared" si="4"/>
        <v>btnTowerUpgr2</v>
      </c>
      <c r="M20" s="1"/>
      <c r="N20" s="1"/>
      <c r="O20" s="1"/>
      <c r="P20" s="14" t="str">
        <f t="shared" ca="1" si="5"/>
        <v>MovieClipSub * btnTowerUpgr2;</v>
      </c>
      <c r="Q20" s="14" t="str">
        <f t="shared" ca="1" si="6"/>
        <v>btnTowerUpgr2= this-&gt;createMovieClipSub("btnTowerUpgr2");</v>
      </c>
    </row>
    <row r="21" spans="1:17" x14ac:dyDescent="0.25">
      <c r="A21" s="1"/>
      <c r="B21" s="4" t="s">
        <v>681</v>
      </c>
      <c r="C21" s="1">
        <f t="shared" ca="1" si="0"/>
        <v>2</v>
      </c>
      <c r="D21" s="1" t="s">
        <v>82</v>
      </c>
      <c r="E21" s="1" t="s">
        <v>134</v>
      </c>
      <c r="F21" s="1" t="s">
        <v>134</v>
      </c>
      <c r="G21" s="1" t="s">
        <v>682</v>
      </c>
      <c r="H21" s="1" t="str">
        <f t="shared" ca="1" si="1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createCase</v>
      </c>
      <c r="K21" s="1" t="str">
        <f t="shared" si="3"/>
        <v>btnTowerUpgrCase</v>
      </c>
      <c r="L21" s="1" t="str">
        <f t="shared" si="4"/>
        <v>btnTowerUpgrCase</v>
      </c>
      <c r="M21" s="1"/>
      <c r="N21" s="1"/>
      <c r="O21" s="1"/>
      <c r="P21" s="14" t="str">
        <f t="shared" ca="1" si="5"/>
        <v>MCCase * btnTowerUpgr2BtnTowerUpgrCase;</v>
      </c>
      <c r="Q21" s="14" t="str">
        <f t="shared" ca="1" si="6"/>
        <v>btnTowerUpgr2BtnTowerUpgrCase= btnTowerUpgr2-&gt;createCase("btnTowerUpgrCase");</v>
      </c>
    </row>
    <row r="22" spans="1:17" x14ac:dyDescent="0.25">
      <c r="A22" s="1"/>
      <c r="B22" s="4" t="s">
        <v>107</v>
      </c>
      <c r="C22" s="1">
        <f t="shared" ca="1" si="0"/>
        <v>2</v>
      </c>
      <c r="D22" s="1" t="s">
        <v>82</v>
      </c>
      <c r="E22" s="1" t="s">
        <v>134</v>
      </c>
      <c r="F22" s="1" t="s">
        <v>134</v>
      </c>
      <c r="G22" s="1" t="s">
        <v>684</v>
      </c>
      <c r="H22" s="1" t="str">
        <f t="shared" ca="1" si="1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/>
      <c r="N22" s="1"/>
      <c r="O22" s="1"/>
      <c r="P22" s="14" t="str">
        <f t="shared" ca="1" si="5"/>
        <v>MCText * btnTowerUpgr2CostTXT;</v>
      </c>
      <c r="Q22" s="14" t="str">
        <f t="shared" ca="1" si="6"/>
        <v>btnTowerUpgr2CostTXT= btnTowerUpgr2-&gt;createText("costTXT");</v>
      </c>
    </row>
    <row r="23" spans="1:17" x14ac:dyDescent="0.25">
      <c r="A23" s="1"/>
      <c r="B23" s="3" t="s">
        <v>621</v>
      </c>
      <c r="C23" s="1">
        <f t="shared" ca="1" si="0"/>
        <v>1</v>
      </c>
      <c r="D23" s="1" t="s">
        <v>82</v>
      </c>
      <c r="E23" s="1" t="s">
        <v>134</v>
      </c>
      <c r="F23" s="1" t="s">
        <v>134</v>
      </c>
      <c r="G23" s="1" t="s">
        <v>594</v>
      </c>
      <c r="H23" s="1" t="str">
        <f t="shared" ca="1" si="1"/>
        <v>btnTowerUpgr3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createMovieClipSub</v>
      </c>
      <c r="K23" s="1" t="str">
        <f t="shared" si="3"/>
        <v>btnTowerUpgr3</v>
      </c>
      <c r="L23" s="1" t="str">
        <f t="shared" si="4"/>
        <v>btnTowerUpgr3</v>
      </c>
      <c r="M23" s="1"/>
      <c r="N23" s="1"/>
      <c r="O23" s="1"/>
      <c r="P23" s="14" t="str">
        <f t="shared" ca="1" si="5"/>
        <v>MovieClipSub * btnTowerUpgr3;</v>
      </c>
      <c r="Q23" s="14" t="str">
        <f t="shared" ca="1" si="6"/>
        <v>btnTowerUpgr3= this-&gt;createMovieClipSub("btnTowerUpgr3");</v>
      </c>
    </row>
    <row r="24" spans="1:17" x14ac:dyDescent="0.25">
      <c r="A24" s="1"/>
      <c r="B24" s="4" t="s">
        <v>681</v>
      </c>
      <c r="C24" s="1">
        <f t="shared" ref="C24" ca="1" si="26">indent(B24)</f>
        <v>2</v>
      </c>
      <c r="D24" s="1" t="s">
        <v>82</v>
      </c>
      <c r="E24" s="1" t="s">
        <v>134</v>
      </c>
      <c r="F24" s="1" t="s">
        <v>134</v>
      </c>
      <c r="G24" s="1" t="s">
        <v>682</v>
      </c>
      <c r="H24" s="1" t="str">
        <f t="shared" ref="H24" ca="1" si="27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createCase</v>
      </c>
      <c r="K24" s="1" t="str">
        <f t="shared" ref="K24" si="28">B24</f>
        <v>btnTowerUpgrCase</v>
      </c>
      <c r="L24" s="1" t="str">
        <f t="shared" ref="L24" si="29">B24</f>
        <v>btnTowerUpgrCase</v>
      </c>
      <c r="M24" s="1"/>
      <c r="N24" s="1"/>
      <c r="O24" s="1"/>
      <c r="P24" s="14" t="str">
        <f t="shared" ca="1" si="5"/>
        <v>MCCase * btnTowerUpgr3BtnTowerUpgrCase;</v>
      </c>
      <c r="Q24" s="14" t="str">
        <f t="shared" ca="1" si="6"/>
        <v>btnTowerUpgr3BtnTowerUpgrCase= btnTowerUpgr3-&gt;createCase("btnTowerUpgrCase");</v>
      </c>
    </row>
    <row r="25" spans="1:17" x14ac:dyDescent="0.25">
      <c r="A25" s="1"/>
      <c r="B25" s="4" t="s">
        <v>107</v>
      </c>
      <c r="C25" s="1">
        <f t="shared" ca="1" si="0"/>
        <v>2</v>
      </c>
      <c r="D25" s="1" t="s">
        <v>82</v>
      </c>
      <c r="E25" s="1" t="s">
        <v>134</v>
      </c>
      <c r="F25" s="1" t="s">
        <v>134</v>
      </c>
      <c r="G25" s="1" t="s">
        <v>684</v>
      </c>
      <c r="H25" s="1" t="str">
        <f t="shared" ca="1" si="1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2"/>
        <v>createText</v>
      </c>
      <c r="K25" s="1" t="str">
        <f t="shared" si="3"/>
        <v>costTXT</v>
      </c>
      <c r="L25" s="1" t="str">
        <f t="shared" si="4"/>
        <v>costTXT</v>
      </c>
      <c r="M25" s="1"/>
      <c r="N25" s="1"/>
      <c r="O25" s="1"/>
      <c r="P25" s="14" t="str">
        <f t="shared" ca="1" si="5"/>
        <v>MCText * btnTowerUpgr3CostTXT;</v>
      </c>
      <c r="Q25" s="14" t="str">
        <f t="shared" ca="1" si="6"/>
        <v>btnTowerUpgr3CostTXT= btnTowerUpgr3-&gt;createText("costTXT");</v>
      </c>
    </row>
    <row r="26" spans="1:17" x14ac:dyDescent="0.25">
      <c r="A26" s="1"/>
      <c r="B26" s="3" t="s">
        <v>620</v>
      </c>
      <c r="C26" s="1">
        <f t="shared" ca="1" si="0"/>
        <v>1</v>
      </c>
      <c r="D26" s="1" t="s">
        <v>82</v>
      </c>
      <c r="E26" s="1" t="s">
        <v>134</v>
      </c>
      <c r="F26" s="1" t="s">
        <v>134</v>
      </c>
      <c r="G26" s="1" t="s">
        <v>594</v>
      </c>
      <c r="H26" s="1" t="str">
        <f t="shared" ca="1" si="1"/>
        <v>btnTowerUpgr4</v>
      </c>
      <c r="I26" s="1" t="str">
        <f ca="1">IF(C26&lt;2,"this",IF(C26=C25,I25,IF(C26&gt;C25,H25, LOOKUP(1,0/(H$2:H25=I25),I$2:I26))))</f>
        <v>this</v>
      </c>
      <c r="J26" s="1" t="str">
        <f t="shared" si="2"/>
        <v>createMovieClipSub</v>
      </c>
      <c r="K26" s="1" t="str">
        <f t="shared" si="3"/>
        <v>btnTowerUpgr4</v>
      </c>
      <c r="L26" s="1" t="str">
        <f t="shared" si="4"/>
        <v>btnTowerUpgr4</v>
      </c>
      <c r="M26" s="1"/>
      <c r="N26" s="1"/>
      <c r="O26" s="1"/>
      <c r="P26" s="14" t="str">
        <f t="shared" ca="1" si="5"/>
        <v>MovieClipSub * btnTowerUpgr4;</v>
      </c>
      <c r="Q26" s="14" t="str">
        <f t="shared" ca="1" si="6"/>
        <v>btnTowerUpgr4= this-&gt;createMovieClipSub("btnTowerUpgr4");</v>
      </c>
    </row>
    <row r="27" spans="1:17" x14ac:dyDescent="0.25">
      <c r="A27" s="1"/>
      <c r="B27" s="4" t="s">
        <v>681</v>
      </c>
      <c r="C27" s="1">
        <f t="shared" ca="1" si="0"/>
        <v>2</v>
      </c>
      <c r="D27" s="1" t="s">
        <v>82</v>
      </c>
      <c r="E27" s="1" t="s">
        <v>134</v>
      </c>
      <c r="F27" s="1" t="s">
        <v>134</v>
      </c>
      <c r="G27" s="1" t="s">
        <v>682</v>
      </c>
      <c r="H27" s="1" t="str">
        <f t="shared" ca="1" si="1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createCase</v>
      </c>
      <c r="K27" s="1" t="str">
        <f t="shared" si="3"/>
        <v>btnTowerUpgrCase</v>
      </c>
      <c r="L27" s="1" t="str">
        <f t="shared" si="4"/>
        <v>btnTowerUpgrCase</v>
      </c>
      <c r="M27" s="1"/>
      <c r="N27" s="1"/>
      <c r="O27" s="1"/>
      <c r="P27" s="14" t="str">
        <f t="shared" ca="1" si="5"/>
        <v>MCCase * btnTowerUpgr4BtnTowerUpgrCase;</v>
      </c>
      <c r="Q27" s="14" t="str">
        <f t="shared" ca="1" si="6"/>
        <v>btnTowerUpgr4BtnTowerUpgrCase= btnTowerUpgr4-&gt;createCase("btnTowerUpgrCase");</v>
      </c>
    </row>
    <row r="28" spans="1:17" x14ac:dyDescent="0.25">
      <c r="A28" s="1"/>
      <c r="B28" s="4" t="s">
        <v>107</v>
      </c>
      <c r="C28" s="1">
        <f t="shared" ca="1" si="0"/>
        <v>2</v>
      </c>
      <c r="D28" s="1" t="s">
        <v>82</v>
      </c>
      <c r="E28" s="1" t="s">
        <v>134</v>
      </c>
      <c r="F28" s="1" t="s">
        <v>134</v>
      </c>
      <c r="G28" s="1" t="s">
        <v>684</v>
      </c>
      <c r="H28" s="1" t="str">
        <f t="shared" ca="1" si="1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/>
      <c r="N28" s="1"/>
      <c r="O28" s="1"/>
      <c r="P28" s="14" t="str">
        <f t="shared" ca="1" si="5"/>
        <v>MCText * btnTowerUpgr4CostTXT;</v>
      </c>
      <c r="Q28" s="14" t="str">
        <f t="shared" ca="1" si="6"/>
        <v>btnTowerUpgr4CostTXT= btnTowerUpgr4-&gt;createText("costTXT");</v>
      </c>
    </row>
    <row r="29" spans="1:17" x14ac:dyDescent="0.25">
      <c r="A29" s="1"/>
      <c r="B29" s="3" t="s">
        <v>680</v>
      </c>
      <c r="C29" s="1">
        <f t="shared" ca="1" si="0"/>
        <v>1</v>
      </c>
      <c r="D29" s="1" t="s">
        <v>82</v>
      </c>
      <c r="E29" s="1" t="s">
        <v>134</v>
      </c>
      <c r="F29" s="1" t="s">
        <v>134</v>
      </c>
      <c r="G29" s="1" t="s">
        <v>594</v>
      </c>
      <c r="H29" s="1" t="str">
        <f t="shared" ca="1" si="1"/>
        <v>btnUpgradeMenu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btnUpgradeMenu</v>
      </c>
      <c r="L29" s="1" t="str">
        <f t="shared" si="4"/>
        <v>btnUpgradeMenu</v>
      </c>
      <c r="M29" s="1"/>
      <c r="N29" s="1"/>
      <c r="O29" s="1"/>
      <c r="P29" s="14" t="str">
        <f t="shared" ca="1" si="5"/>
        <v>MovieClipSub * btnUpgradeMenu;</v>
      </c>
      <c r="Q29" s="14" t="str">
        <f t="shared" ca="1" si="6"/>
        <v>btnUpgradeMenu= this-&gt;createMovieClipSub("btnUpgradeMenu");</v>
      </c>
    </row>
    <row r="30" spans="1:17" x14ac:dyDescent="0.25">
      <c r="A30" s="1"/>
      <c r="B30" s="4" t="s">
        <v>679</v>
      </c>
      <c r="C30" s="1">
        <f t="shared" ref="C30" ca="1" si="30">indent(B30)</f>
        <v>2</v>
      </c>
      <c r="D30" s="1" t="s">
        <v>82</v>
      </c>
      <c r="E30" s="1" t="s">
        <v>134</v>
      </c>
      <c r="F30" s="1" t="s">
        <v>134</v>
      </c>
      <c r="G30" s="1" t="s">
        <v>682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2"/>
        <v>createCase</v>
      </c>
      <c r="K30" s="1" t="str">
        <f t="shared" ref="K30" si="31">B30</f>
        <v>btnUpgradeMenuCase</v>
      </c>
      <c r="L30" s="1" t="str">
        <f t="shared" ref="L30" si="32">B30</f>
        <v>btnUpgradeMenuCase</v>
      </c>
      <c r="M30" s="1"/>
      <c r="N30" s="1"/>
      <c r="O30" s="1"/>
      <c r="P30" s="14" t="str">
        <f t="shared" ca="1" si="5"/>
        <v>MCCase * btnUpgradeMenuBtnUpgradeMenuCase;</v>
      </c>
      <c r="Q30" s="14" t="str">
        <f t="shared" ca="1" si="6"/>
        <v>btnUpgradeMenuBtnUpgradeMenuCase= btnUpgradeMenu-&gt;createCase("btnUpgradeMenuCase");</v>
      </c>
    </row>
    <row r="31" spans="1:17" x14ac:dyDescent="0.25">
      <c r="A31" s="1"/>
      <c r="B31" s="4" t="s">
        <v>770</v>
      </c>
      <c r="C31" s="1">
        <f t="shared" ref="C31" ca="1" si="33">indent(B31)</f>
        <v>2</v>
      </c>
      <c r="D31" s="1" t="s">
        <v>82</v>
      </c>
      <c r="E31" s="1" t="s">
        <v>134</v>
      </c>
      <c r="F31" s="1" t="s">
        <v>134</v>
      </c>
      <c r="G31" s="1" t="s">
        <v>682</v>
      </c>
      <c r="H31" s="1" t="str">
        <f ca="1">IF(OR(I31="this",LEN(I31)&lt;2),B31,CONCATENATE(I31, UPPER(LEFT(B31,1)) &amp; RIGHT(B31,LEN(B31)-1) ))</f>
        <v>btnUpgradeMenuBtnUpgradeMenuLOCKCase</v>
      </c>
      <c r="I31" s="1" t="str">
        <f ca="1">IF(C31&lt;2,"this",IF(C31=C30,I30,IF(C31&gt;C30,H30, LOOKUP(1,0/(H$2:H30=I30),I$2:I31))))</f>
        <v>btnUpgradeMenu</v>
      </c>
      <c r="J31" s="1" t="str">
        <f t="shared" ref="J31" si="34">CONCATENATE("create",IF(LEFT(G31,2)="MC",MID(G31,3,LEN(G31)),G31))</f>
        <v>createCase</v>
      </c>
      <c r="K31" s="1" t="str">
        <f t="shared" ref="K31" si="35">B31</f>
        <v>btnUpgradeMenuLOCKCase</v>
      </c>
      <c r="L31" s="1" t="str">
        <f t="shared" ref="L31" si="36">B31</f>
        <v>btnUpgradeMenuLOCKCase</v>
      </c>
      <c r="M31" s="1"/>
      <c r="N31" s="1"/>
      <c r="O31" s="1"/>
      <c r="P31" s="14" t="str">
        <f t="shared" ref="P31" ca="1" si="37">IF(C31&gt;0,G31 &amp; " * "&amp;H31 &amp;";","")</f>
        <v>MCCase * btnUpgradeMenuBtnUpgradeMenuLOCKCase;</v>
      </c>
      <c r="Q31" s="14" t="str">
        <f t="shared" ref="Q31" ca="1" si="38">IF(C31&gt;0,H31&amp;"= "&amp;I31&amp;"-&gt;"&amp;J31&amp;"("""&amp;K31&amp;""")"&amp;";",IF(RIGHT(B31,3)&lt;&gt;"_mc",G31&amp;"("""&amp;D31&amp;""","""&amp;B31&amp;""","""&amp;K31&amp;"""{)",B31&amp;"::"&amp;B31&amp;":"&amp;G31&amp;"("""&amp;D31&amp;""","""&amp;B31&amp;""","""&amp;K31&amp;"""{)"))</f>
        <v>btnUpgradeMenuBtnUpgradeMenuLOCKCase= btnUpgradeMenu-&gt;createCase("btnUpgradeMenuLOCKCase");</v>
      </c>
    </row>
    <row r="32" spans="1:17" x14ac:dyDescent="0.25">
      <c r="A32" s="1"/>
      <c r="B32" s="4" t="s">
        <v>154</v>
      </c>
      <c r="C32" s="1">
        <f t="shared" ref="C32" ca="1" si="39">indent(B32)</f>
        <v>2</v>
      </c>
      <c r="D32" s="1" t="s">
        <v>82</v>
      </c>
      <c r="E32" s="1" t="s">
        <v>134</v>
      </c>
      <c r="F32" s="1" t="s">
        <v>134</v>
      </c>
      <c r="G32" s="1" t="s">
        <v>771</v>
      </c>
      <c r="H32" s="1" t="str">
        <f ca="1">IF(OR(I32="this",LEN(I32)&lt;2),B32,CONCATENATE(I32, UPPER(LEFT(B32,1)) &amp; RIGHT(B32,LEN(B32)-1) ))</f>
        <v>btnUpgradeMenuCostTXT</v>
      </c>
      <c r="I32" s="1" t="str">
        <f ca="1">IF(C32&lt;2,"this",IF(C32=C31,I31,IF(C32&gt;C31,H31, LOOKUP(1,0/(H$2:H31=I31),I$2:I32))))</f>
        <v>btnUpgradeMenu</v>
      </c>
      <c r="J32" s="1" t="str">
        <f t="shared" ref="J32" si="40">CONCATENATE("create",IF(LEFT(G32,2)="MC",MID(G32,3,LEN(G32)),G32))</f>
        <v>createText</v>
      </c>
      <c r="K32" s="1" t="str">
        <f t="shared" ref="K32" si="41">B32</f>
        <v>costTXT</v>
      </c>
      <c r="L32" s="1" t="str">
        <f t="shared" ref="L32" si="42">B32</f>
        <v>costTXT</v>
      </c>
      <c r="M32" s="1"/>
      <c r="N32" s="1"/>
      <c r="O32" s="1"/>
      <c r="P32" s="14" t="str">
        <f t="shared" ref="P32" ca="1" si="43">IF(C32&gt;0,G32 &amp; " * "&amp;H32 &amp;";","")</f>
        <v>MCText * btnUpgradeMenuCostTXT;</v>
      </c>
      <c r="Q32" s="14" t="str">
        <f t="shared" ref="Q32" ca="1" si="44">IF(C32&gt;0,H32&amp;"= "&amp;I32&amp;"-&gt;"&amp;J32&amp;"("""&amp;K32&amp;""")"&amp;";",IF(RIGHT(B32,3)&lt;&gt;"_mc",G32&amp;"("""&amp;D32&amp;""","""&amp;B32&amp;""","""&amp;K32&amp;"""{)",B32&amp;"::"&amp;B32&amp;":"&amp;G32&amp;"("""&amp;D32&amp;""","""&amp;B32&amp;""","""&amp;K32&amp;"""{)"))</f>
        <v>btnUpgradeMenuCostTXT= btnUpgradeMenu-&gt;createText("costTXT");</v>
      </c>
    </row>
    <row r="33" spans="1:17" x14ac:dyDescent="0.25">
      <c r="A33" s="1"/>
      <c r="B33" s="3" t="s">
        <v>699</v>
      </c>
      <c r="C33" s="1">
        <f t="shared" ca="1" si="0"/>
        <v>1</v>
      </c>
      <c r="D33" s="1" t="s">
        <v>82</v>
      </c>
      <c r="E33" s="1" t="s">
        <v>134</v>
      </c>
      <c r="F33" s="1" t="s">
        <v>134</v>
      </c>
      <c r="G33" s="1" t="s">
        <v>594</v>
      </c>
      <c r="H33" s="1" t="str">
        <f t="shared" ca="1" si="1"/>
        <v>cont1</v>
      </c>
      <c r="I33" s="1" t="str">
        <f ca="1">IF(C33&lt;2,"this",IF(C33=C30,I30,IF(C33&gt;C30,H30, LOOKUP(1,0/(H$2:H30=I30),I$2:I33))))</f>
        <v>this</v>
      </c>
      <c r="J33" s="1" t="str">
        <f t="shared" si="2"/>
        <v>createMovieClipSub</v>
      </c>
      <c r="K33" s="1" t="str">
        <f t="shared" si="3"/>
        <v>cont1</v>
      </c>
      <c r="L33" s="1" t="str">
        <f t="shared" si="4"/>
        <v>cont1</v>
      </c>
      <c r="M33" s="1"/>
      <c r="N33" s="1"/>
      <c r="O33" s="1"/>
      <c r="P33" s="14" t="str">
        <f t="shared" ca="1" si="5"/>
        <v>MovieClipSub * cont1;</v>
      </c>
      <c r="Q33" s="14" t="str">
        <f t="shared" ca="1" si="6"/>
        <v>cont1= this-&gt;createMovieClipSub("cont1");</v>
      </c>
    </row>
    <row r="34" spans="1:17" x14ac:dyDescent="0.25">
      <c r="A34" s="1"/>
      <c r="B34" s="3" t="s">
        <v>700</v>
      </c>
      <c r="C34" s="1">
        <f t="shared" ca="1" si="0"/>
        <v>1</v>
      </c>
      <c r="D34" s="1" t="s">
        <v>82</v>
      </c>
      <c r="E34" s="1" t="s">
        <v>134</v>
      </c>
      <c r="F34" s="1" t="s">
        <v>134</v>
      </c>
      <c r="G34" s="1" t="s">
        <v>594</v>
      </c>
      <c r="H34" s="1" t="str">
        <f t="shared" ca="1" si="1"/>
        <v>cont2</v>
      </c>
      <c r="I34" s="1" t="str">
        <f ca="1">IF(C34&lt;2,"this",IF(C34=C33,I33,IF(C34&gt;C33,H33, LOOKUP(1,0/(H$2:H33=I33),I$2:I34))))</f>
        <v>this</v>
      </c>
      <c r="J34" s="1" t="str">
        <f t="shared" si="2"/>
        <v>createMovieClipSub</v>
      </c>
      <c r="K34" s="1" t="str">
        <f t="shared" si="3"/>
        <v>cont2</v>
      </c>
      <c r="L34" s="1" t="str">
        <f t="shared" si="4"/>
        <v>cont2</v>
      </c>
      <c r="M34" s="1"/>
      <c r="N34" s="1"/>
      <c r="O34" s="1"/>
      <c r="P34" s="14" t="str">
        <f t="shared" ca="1" si="5"/>
        <v>MovieClipSub * cont2;</v>
      </c>
      <c r="Q34" s="14" t="str">
        <f t="shared" ca="1" si="6"/>
        <v>cont2= this-&gt;createMovieClipSub("cont2");</v>
      </c>
    </row>
    <row r="35" spans="1:17" x14ac:dyDescent="0.25">
      <c r="A35" s="1"/>
      <c r="B35" s="3" t="s">
        <v>625</v>
      </c>
      <c r="C35" s="1">
        <f t="shared" ca="1" si="0"/>
        <v>1</v>
      </c>
      <c r="D35" s="1" t="s">
        <v>82</v>
      </c>
      <c r="E35" s="1" t="s">
        <v>134</v>
      </c>
      <c r="F35" s="1" t="s">
        <v>134</v>
      </c>
      <c r="G35" s="1" t="s">
        <v>594</v>
      </c>
      <c r="H35" s="1" t="str">
        <f t="shared" ca="1" si="1"/>
        <v>fastBuyUltraCont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fastBuyUltraCont</v>
      </c>
      <c r="L35" s="1" t="str">
        <f t="shared" si="4"/>
        <v>fastBuyUltraCont</v>
      </c>
      <c r="M35" s="1"/>
      <c r="N35" s="1"/>
      <c r="O35" s="1"/>
      <c r="P35" s="14" t="str">
        <f t="shared" ca="1" si="5"/>
        <v>MovieClipSub * fastBuyUltraCont;</v>
      </c>
      <c r="Q35" s="14" t="str">
        <f t="shared" ca="1" si="6"/>
        <v>fastBuyUltraCont= this-&gt;createMovieClipSub("fastBuyUltraCont");</v>
      </c>
    </row>
    <row r="36" spans="1:17" x14ac:dyDescent="0.25">
      <c r="A36" s="1"/>
      <c r="B36" s="4" t="s">
        <v>121</v>
      </c>
      <c r="C36" s="1">
        <f t="shared" ca="1" si="0"/>
        <v>2</v>
      </c>
      <c r="D36" s="1" t="s">
        <v>82</v>
      </c>
      <c r="E36" s="1" t="s">
        <v>134</v>
      </c>
      <c r="F36" s="1" t="s">
        <v>134</v>
      </c>
      <c r="G36" s="1" t="s">
        <v>594</v>
      </c>
      <c r="H36" s="1" t="str">
        <f t="shared" ca="1" si="1"/>
        <v>fastBuyUltraContBtnFastBuyUltra</v>
      </c>
      <c r="I36" s="1" t="str">
        <f ca="1">IF(C36&lt;2,"this",IF(C36=C35,I35,IF(C36&gt;C35,H35, LOOKUP(1,0/(H$2:H35=I35),I$2:I36))))</f>
        <v>fastBuyUltraCont</v>
      </c>
      <c r="J36" s="1" t="str">
        <f t="shared" si="2"/>
        <v>createMovieClipSub</v>
      </c>
      <c r="K36" s="1" t="str">
        <f t="shared" si="3"/>
        <v>btnFastBuyUltra</v>
      </c>
      <c r="L36" s="1" t="str">
        <f t="shared" si="4"/>
        <v>btnFastBuyUltra</v>
      </c>
      <c r="M36" s="1"/>
      <c r="N36" s="1"/>
      <c r="O36" s="1"/>
      <c r="P36" s="14" t="str">
        <f t="shared" ca="1" si="5"/>
        <v>MovieClipSub * fastBuyUltraContBtnFastBuyUltra;</v>
      </c>
      <c r="Q36" s="14" t="str">
        <f t="shared" ca="1" si="6"/>
        <v>fastBuyUltraContBtnFastBuyUltra= fastBuyUltraCont-&gt;createMovieClipSub("btnFastBuyUltra");</v>
      </c>
    </row>
    <row r="37" spans="1:17" x14ac:dyDescent="0.25">
      <c r="A37" s="1"/>
      <c r="B37" s="5" t="s">
        <v>107</v>
      </c>
      <c r="C37" s="1">
        <f t="shared" ca="1" si="0"/>
        <v>3</v>
      </c>
      <c r="D37" s="1" t="s">
        <v>82</v>
      </c>
      <c r="E37" s="1" t="s">
        <v>134</v>
      </c>
      <c r="F37" s="1" t="s">
        <v>134</v>
      </c>
      <c r="G37" s="1" t="s">
        <v>684</v>
      </c>
      <c r="H37" s="1" t="str">
        <f t="shared" ca="1" si="1"/>
        <v>fastBuyUltraContBtnFastBuyUltraCostTXT</v>
      </c>
      <c r="I37" s="1" t="str">
        <f ca="1">IF(C37&lt;2,"this",IF(C37=C36,I36,IF(C37&gt;C36,H36, LOOKUP(1,0/(H$2:H36=I36),I$2:I37))))</f>
        <v>fastBuyUltraContBtnFastBuyUltra</v>
      </c>
      <c r="J37" s="1" t="str">
        <f t="shared" si="2"/>
        <v>createText</v>
      </c>
      <c r="K37" s="1" t="str">
        <f t="shared" si="3"/>
        <v>costTXT</v>
      </c>
      <c r="L37" s="1" t="str">
        <f t="shared" si="4"/>
        <v>costTXT</v>
      </c>
      <c r="M37" s="1"/>
      <c r="N37" s="1"/>
      <c r="O37" s="1"/>
      <c r="P37" s="14" t="str">
        <f t="shared" ca="1" si="5"/>
        <v>MCText * fastBuyUltraContBtnFastBuyUltraCostTXT;</v>
      </c>
      <c r="Q37" s="14" t="str">
        <f t="shared" ca="1" si="6"/>
        <v>fastBuyUltraContBtnFastBuyUltraCostTXT= fastBuyUltraContBtnFastBuyUltra-&gt;createText("costTXT");</v>
      </c>
    </row>
    <row r="38" spans="1:17" x14ac:dyDescent="0.25">
      <c r="A38" s="1"/>
      <c r="B38" s="5" t="s">
        <v>122</v>
      </c>
      <c r="C38" s="1">
        <f t="shared" ca="1" si="0"/>
        <v>3</v>
      </c>
      <c r="D38" s="1" t="s">
        <v>82</v>
      </c>
      <c r="E38" s="1" t="s">
        <v>134</v>
      </c>
      <c r="F38" s="1" t="s">
        <v>134</v>
      </c>
      <c r="G38" s="1" t="s">
        <v>682</v>
      </c>
      <c r="H38" s="1" t="str">
        <f t="shared" ca="1" si="1"/>
        <v>fastBuyUltraContBtnFastBuyUltraFastBuyUltraCase</v>
      </c>
      <c r="I38" s="1" t="str">
        <f ca="1">IF(C38&lt;2,"this",IF(C38=C37,I37,IF(C38&gt;C37,H37, LOOKUP(1,0/(H$2:H37=I37),I$2:I38))))</f>
        <v>fastBuyUltraContBtnFastBuyUltra</v>
      </c>
      <c r="J38" s="1" t="str">
        <f t="shared" si="2"/>
        <v>createCase</v>
      </c>
      <c r="K38" s="1" t="str">
        <f t="shared" si="3"/>
        <v>fastBuyUltraCase</v>
      </c>
      <c r="L38" s="1" t="str">
        <f t="shared" si="4"/>
        <v>fastBuyUltraCase</v>
      </c>
      <c r="M38" s="1"/>
      <c r="N38" s="1"/>
      <c r="O38" s="1"/>
      <c r="P38" s="14" t="str">
        <f t="shared" ca="1" si="5"/>
        <v>MCCase * fastBuyUltraContBtnFastBuyUltraFastBuyUltraCase;</v>
      </c>
      <c r="Q38" s="14" t="str">
        <f t="shared" ca="1" si="6"/>
        <v>fastBuyUltraContBtnFastBuyUltraFastBuyUltraCase= fastBuyUltraContBtnFastBuyUltra-&gt;createCase("fastBuyUltraCase");</v>
      </c>
    </row>
    <row r="39" spans="1:17" x14ac:dyDescent="0.25">
      <c r="A39" s="1"/>
      <c r="B39" s="4" t="s">
        <v>155</v>
      </c>
      <c r="C39" s="1">
        <f t="shared" ref="C39:C42" ca="1" si="45">indent(B39)</f>
        <v>2</v>
      </c>
      <c r="D39" s="1" t="s">
        <v>82</v>
      </c>
      <c r="E39" s="1" t="s">
        <v>134</v>
      </c>
      <c r="F39" s="1" t="s">
        <v>134</v>
      </c>
      <c r="G39" s="1" t="s">
        <v>594</v>
      </c>
      <c r="H39" s="1" t="str">
        <f t="shared" ref="H39:H42" ca="1" si="46">IF(OR(I39="this",LEN(I39)&lt;2),B39,CONCATENATE(I39, UPPER(LEFT(B39,1)) &amp; RIGHT(B39,LEN(B39)-1) ))</f>
        <v>fastBuyUltraContIndicator1</v>
      </c>
      <c r="I39" s="1" t="str">
        <f ca="1">IF(C39&lt;2,"this",IF(C39=C38,I38,IF(C39&gt;C38,H38, LOOKUP(1,0/(H$2:H38=I38),I$2:I39))))</f>
        <v>fastBuyUltraCont</v>
      </c>
      <c r="J39" s="1" t="str">
        <f t="shared" ref="J39:J42" si="47">CONCATENATE("create",IF(LEFT(G39,2)="MC",MID(G39,3,LEN(G39)),G39))</f>
        <v>createMovieClipSub</v>
      </c>
      <c r="K39" s="1" t="str">
        <f t="shared" ref="K39:K42" si="48">B39</f>
        <v>indicator1</v>
      </c>
      <c r="L39" s="1" t="str">
        <f t="shared" ref="L39:L42" si="49">B39</f>
        <v>indicator1</v>
      </c>
      <c r="M39" s="1"/>
      <c r="N39" s="1"/>
      <c r="O39" s="1"/>
      <c r="P39" s="14" t="str">
        <f t="shared" ref="P39:P42" ca="1" si="50">IF(C39&gt;0,G39 &amp; " * "&amp;H39 &amp;";","")</f>
        <v>MovieClipSub * fastBuyUltraContIndicator1;</v>
      </c>
      <c r="Q39" s="14" t="str">
        <f t="shared" ref="Q39:Q42" ca="1" si="51">IF(C39&gt;0,H39&amp;"= "&amp;I39&amp;"-&gt;"&amp;J39&amp;"("""&amp;K39&amp;""")"&amp;";",IF(RIGHT(B39,3)&lt;&gt;"_mc",G39&amp;"("""&amp;D39&amp;""","""&amp;B39&amp;""","""&amp;K39&amp;"""{)",B39&amp;"::"&amp;B39&amp;":"&amp;G39&amp;"("""&amp;D39&amp;""","""&amp;B39&amp;""","""&amp;K39&amp;"""{)"))</f>
        <v>fastBuyUltraContIndicator1= fastBuyUltraCont-&gt;createMovieClipSub("indicator1");</v>
      </c>
    </row>
    <row r="40" spans="1:17" x14ac:dyDescent="0.25">
      <c r="A40" s="1"/>
      <c r="B40" s="4" t="s">
        <v>156</v>
      </c>
      <c r="C40" s="1">
        <f t="shared" ca="1" si="45"/>
        <v>2</v>
      </c>
      <c r="D40" s="1" t="s">
        <v>82</v>
      </c>
      <c r="E40" s="1" t="s">
        <v>134</v>
      </c>
      <c r="F40" s="1" t="s">
        <v>134</v>
      </c>
      <c r="G40" s="1" t="s">
        <v>594</v>
      </c>
      <c r="H40" s="1" t="str">
        <f t="shared" ca="1" si="46"/>
        <v>fastBuyUltraContIndicator2</v>
      </c>
      <c r="I40" s="1" t="str">
        <f ca="1">IF(C40&lt;2,"this",IF(C40=C39,I39,IF(C40&gt;C39,H39, LOOKUP(1,0/(H$2:H39=I39),I$2:I40))))</f>
        <v>fastBuyUltraCont</v>
      </c>
      <c r="J40" s="1" t="str">
        <f t="shared" si="47"/>
        <v>createMovieClipSub</v>
      </c>
      <c r="K40" s="1" t="str">
        <f t="shared" si="48"/>
        <v>indicator2</v>
      </c>
      <c r="L40" s="1" t="str">
        <f t="shared" si="49"/>
        <v>indicator2</v>
      </c>
      <c r="M40" s="1"/>
      <c r="N40" s="1"/>
      <c r="O40" s="1"/>
      <c r="P40" s="14" t="str">
        <f t="shared" ca="1" si="50"/>
        <v>MovieClipSub * fastBuyUltraContIndicator2;</v>
      </c>
      <c r="Q40" s="14" t="str">
        <f t="shared" ca="1" si="51"/>
        <v>fastBuyUltraContIndicator2= fastBuyUltraCont-&gt;createMovieClipSub("indicator2");</v>
      </c>
    </row>
    <row r="41" spans="1:17" x14ac:dyDescent="0.25">
      <c r="A41" s="1"/>
      <c r="B41" s="4" t="s">
        <v>157</v>
      </c>
      <c r="C41" s="1">
        <f t="shared" ca="1" si="45"/>
        <v>2</v>
      </c>
      <c r="D41" s="1" t="s">
        <v>82</v>
      </c>
      <c r="E41" s="1" t="s">
        <v>134</v>
      </c>
      <c r="F41" s="1" t="s">
        <v>134</v>
      </c>
      <c r="G41" s="1" t="s">
        <v>594</v>
      </c>
      <c r="H41" s="1" t="str">
        <f t="shared" ca="1" si="46"/>
        <v>fastBuyUltraContIndicator3</v>
      </c>
      <c r="I41" s="1" t="str">
        <f ca="1">IF(C41&lt;2,"this",IF(C41=C40,I40,IF(C41&gt;C40,H40, LOOKUP(1,0/(H$2:H40=I40),I$2:I41))))</f>
        <v>fastBuyUltraCont</v>
      </c>
      <c r="J41" s="1" t="str">
        <f t="shared" si="47"/>
        <v>createMovieClipSub</v>
      </c>
      <c r="K41" s="1" t="str">
        <f t="shared" si="48"/>
        <v>indicator3</v>
      </c>
      <c r="L41" s="1" t="str">
        <f t="shared" si="49"/>
        <v>indicator3</v>
      </c>
      <c r="M41" s="1"/>
      <c r="N41" s="1"/>
      <c r="O41" s="1"/>
      <c r="P41" s="14" t="str">
        <f t="shared" ca="1" si="50"/>
        <v>MovieClipSub * fastBuyUltraContIndicator3;</v>
      </c>
      <c r="Q41" s="14" t="str">
        <f t="shared" ca="1" si="51"/>
        <v>fastBuyUltraContIndicator3= fastBuyUltraCont-&gt;createMovieClipSub("indicator3");</v>
      </c>
    </row>
    <row r="42" spans="1:17" x14ac:dyDescent="0.25">
      <c r="A42" s="1"/>
      <c r="B42" s="4" t="s">
        <v>158</v>
      </c>
      <c r="C42" s="1">
        <f t="shared" ca="1" si="45"/>
        <v>2</v>
      </c>
      <c r="D42" s="1" t="s">
        <v>82</v>
      </c>
      <c r="E42" s="1" t="s">
        <v>134</v>
      </c>
      <c r="F42" s="1" t="s">
        <v>134</v>
      </c>
      <c r="G42" s="1" t="s">
        <v>594</v>
      </c>
      <c r="H42" s="1" t="str">
        <f t="shared" ca="1" si="46"/>
        <v>fastBuyUltraContIndicator4</v>
      </c>
      <c r="I42" s="1" t="str">
        <f ca="1">IF(C42&lt;2,"this",IF(C42=C41,I41,IF(C42&gt;C41,H41, LOOKUP(1,0/(H$2:H41=I41),I$2:I42))))</f>
        <v>fastBuyUltraCont</v>
      </c>
      <c r="J42" s="1" t="str">
        <f t="shared" si="47"/>
        <v>createMovieClipSub</v>
      </c>
      <c r="K42" s="1" t="str">
        <f t="shared" si="48"/>
        <v>indicator4</v>
      </c>
      <c r="L42" s="1" t="str">
        <f t="shared" si="49"/>
        <v>indicator4</v>
      </c>
      <c r="M42" s="1"/>
      <c r="N42" s="1"/>
      <c r="O42" s="1"/>
      <c r="P42" s="14" t="str">
        <f t="shared" ca="1" si="50"/>
        <v>MovieClipSub * fastBuyUltraContIndicator4;</v>
      </c>
      <c r="Q42" s="14" t="str">
        <f t="shared" ca="1" si="51"/>
        <v>fastBuyUltraContIndicator4= fastBuyUltraCont-&gt;createMovieClipSub("indicator4");</v>
      </c>
    </row>
    <row r="43" spans="1:17" x14ac:dyDescent="0.25">
      <c r="A43" s="1"/>
      <c r="B43" s="3" t="s">
        <v>624</v>
      </c>
      <c r="C43" s="1">
        <f t="shared" ca="1" si="0"/>
        <v>1</v>
      </c>
      <c r="D43" s="1" t="s">
        <v>82</v>
      </c>
      <c r="E43" s="1" t="s">
        <v>134</v>
      </c>
      <c r="F43" s="1" t="s">
        <v>134</v>
      </c>
      <c r="G43" s="1" t="s">
        <v>594</v>
      </c>
      <c r="H43" s="1" t="str">
        <f t="shared" ca="1" si="1"/>
        <v>sphereSlot1</v>
      </c>
      <c r="I43" s="1" t="str">
        <f ca="1">IF(C43&lt;2,"this",IF(C43=C38,I38,IF(C43&gt;C38,H38, LOOKUP(1,0/(H$2:H38=I38),I$2:I43))))</f>
        <v>this</v>
      </c>
      <c r="J43" s="1" t="str">
        <f t="shared" si="2"/>
        <v>createMovieClipSub</v>
      </c>
      <c r="K43" s="1" t="str">
        <f t="shared" si="3"/>
        <v>sphereSlot1</v>
      </c>
      <c r="L43" s="1" t="str">
        <f t="shared" si="4"/>
        <v>sphereSlot1</v>
      </c>
      <c r="M43" s="1"/>
      <c r="N43" s="1"/>
      <c r="O43" s="1"/>
      <c r="P43" s="14" t="str">
        <f t="shared" ca="1" si="5"/>
        <v>MovieClipSub * sphereSlot1;</v>
      </c>
      <c r="Q43" s="14" t="str">
        <f t="shared" ca="1" si="6"/>
        <v>sphereSlot1= this-&gt;createMovieClipSub("sphereSlot1");</v>
      </c>
    </row>
    <row r="44" spans="1:17" x14ac:dyDescent="0.25">
      <c r="A44" s="1"/>
      <c r="B44" s="4" t="s">
        <v>678</v>
      </c>
      <c r="C44" s="1">
        <f t="shared" ref="C44" ca="1" si="52">indent(B44)</f>
        <v>2</v>
      </c>
      <c r="D44" s="1" t="s">
        <v>82</v>
      </c>
      <c r="E44" s="1" t="s">
        <v>134</v>
      </c>
      <c r="F44" s="1" t="s">
        <v>134</v>
      </c>
      <c r="G44" s="1" t="s">
        <v>682</v>
      </c>
      <c r="H44" s="1" t="str">
        <f t="shared" ref="H44" ca="1" si="53">IF(OR(I44="this",LEN(I44)&lt;2),B44,CONCATENATE(I44, UPPER(LEFT(B44,1)) &amp; RIGHT(B44,LEN(B44)-1) ))</f>
        <v>sphereSlot1SphereSlotCase</v>
      </c>
      <c r="I44" s="1" t="str">
        <f ca="1">IF(C44&lt;2,"this",IF(C44=C43,I43,IF(C44&gt;C43,H43, LOOKUP(1,0/(H$2:H43=I43),I$2:I44))))</f>
        <v>sphereSlot1</v>
      </c>
      <c r="J44" s="1" t="str">
        <f t="shared" si="2"/>
        <v>createCase</v>
      </c>
      <c r="K44" s="1" t="str">
        <f t="shared" ref="K44" si="54">B44</f>
        <v>sphereSlotCase</v>
      </c>
      <c r="L44" s="1" t="str">
        <f t="shared" ref="L44" si="55">B44</f>
        <v>sphereSlotCase</v>
      </c>
      <c r="M44" s="1"/>
      <c r="N44" s="1"/>
      <c r="O44" s="1"/>
      <c r="P44" s="14" t="str">
        <f t="shared" ca="1" si="5"/>
        <v>MCCase * sphereSlot1SphereSlotCase;</v>
      </c>
      <c r="Q44" s="14" t="str">
        <f t="shared" ca="1" si="6"/>
        <v>sphereSlot1SphereSlotCase= sphereSlot1-&gt;createCase("sphereSlotCase");</v>
      </c>
    </row>
    <row r="45" spans="1:17" x14ac:dyDescent="0.25">
      <c r="A45" s="68" t="s">
        <v>730</v>
      </c>
      <c r="B45" s="4" t="s">
        <v>115</v>
      </c>
      <c r="C45" s="1">
        <f t="shared" ca="1" si="0"/>
        <v>2</v>
      </c>
      <c r="D45" s="1" t="s">
        <v>82</v>
      </c>
      <c r="E45" s="1" t="s">
        <v>134</v>
      </c>
      <c r="F45" s="1" t="s">
        <v>134</v>
      </c>
      <c r="G45" s="1" t="s">
        <v>594</v>
      </c>
      <c r="H45" s="1" t="str">
        <f t="shared" ca="1" si="1"/>
        <v>sphereSlot1SphereAnima</v>
      </c>
      <c r="I45" s="1" t="str">
        <f ca="1">IF(C45&lt;2,"this",IF(C45=C44,I44,IF(C45&gt;C44,H44, LOOKUP(1,0/(H$2:H44=I44),I$2:I45))))</f>
        <v>sphereSlot1</v>
      </c>
      <c r="J45" s="1" t="str">
        <f t="shared" si="2"/>
        <v>createMovieClipSub</v>
      </c>
      <c r="K45" s="1" t="str">
        <f t="shared" si="3"/>
        <v>sphereAnima</v>
      </c>
      <c r="L45" s="1" t="str">
        <f t="shared" si="4"/>
        <v>sphereAnima</v>
      </c>
      <c r="M45" s="1"/>
      <c r="N45" s="1"/>
      <c r="O45" s="1"/>
      <c r="P45" s="14" t="str">
        <f t="shared" ca="1" si="5"/>
        <v>MovieClipSub * sphereSlot1SphereAnima;</v>
      </c>
      <c r="Q45" s="14" t="str">
        <f t="shared" ca="1" si="6"/>
        <v>sphereSlot1SphereAnima= sphereSlot1-&gt;createMovieClipSub("sphereAnima");</v>
      </c>
    </row>
    <row r="46" spans="1:17" x14ac:dyDescent="0.25">
      <c r="A46" s="69"/>
      <c r="B46" s="37" t="s">
        <v>116</v>
      </c>
      <c r="C46" s="1">
        <f t="shared" ca="1" si="0"/>
        <v>3</v>
      </c>
      <c r="D46" s="1" t="s">
        <v>82</v>
      </c>
      <c r="E46" s="1" t="s">
        <v>134</v>
      </c>
      <c r="F46" s="1" t="s">
        <v>134</v>
      </c>
      <c r="G46" s="1" t="s">
        <v>594</v>
      </c>
      <c r="H46" s="1" t="str">
        <f t="shared" ca="1" si="1"/>
        <v>sphereSlot1SphereAnimaFire</v>
      </c>
      <c r="I46" s="1" t="str">
        <f ca="1">IF(C46&lt;2,"this",IF(C46=C45,I45,IF(C46&gt;C45,H45, LOOKUP(1,0/(H$2:H45=I45),I$2:I46))))</f>
        <v>sphereSlot1SphereAnima</v>
      </c>
      <c r="J46" s="1" t="str">
        <f t="shared" si="2"/>
        <v>createMovieClipSub</v>
      </c>
      <c r="K46" s="1" t="str">
        <f t="shared" si="3"/>
        <v>fire</v>
      </c>
      <c r="L46" s="1" t="str">
        <f t="shared" si="4"/>
        <v>fire</v>
      </c>
      <c r="M46" s="1"/>
      <c r="N46" s="1"/>
      <c r="O46" s="1"/>
      <c r="P46" s="14" t="str">
        <f t="shared" ca="1" si="5"/>
        <v>MovieClipSub * sphereSlot1SphereAnimaFire;</v>
      </c>
      <c r="Q46" s="14" t="str">
        <f t="shared" ca="1" si="6"/>
        <v>sphereSlot1SphereAnimaFire= sphereSlot1SphereAnima-&gt;createMovieClipSub("fire");</v>
      </c>
    </row>
    <row r="47" spans="1:17" x14ac:dyDescent="0.25">
      <c r="A47" s="69"/>
      <c r="B47" s="37" t="s">
        <v>117</v>
      </c>
      <c r="C47" s="1">
        <f t="shared" ca="1" si="0"/>
        <v>3</v>
      </c>
      <c r="D47" s="1" t="s">
        <v>82</v>
      </c>
      <c r="E47" s="1" t="s">
        <v>134</v>
      </c>
      <c r="F47" s="1" t="s">
        <v>134</v>
      </c>
      <c r="G47" s="1" t="s">
        <v>594</v>
      </c>
      <c r="H47" s="1" t="str">
        <f t="shared" ca="1" si="1"/>
        <v>sphereSlot1SphereAnimaIce</v>
      </c>
      <c r="I47" s="1" t="str">
        <f ca="1">IF(C47&lt;2,"this",IF(C47=C46,I46,IF(C47&gt;C46,H46, LOOKUP(1,0/(H$2:H46=I46),I$2:I47))))</f>
        <v>sphereSlot1SphereAnima</v>
      </c>
      <c r="J47" s="1" t="str">
        <f t="shared" si="2"/>
        <v>createMovieClipSub</v>
      </c>
      <c r="K47" s="1" t="str">
        <f t="shared" si="3"/>
        <v>ice</v>
      </c>
      <c r="L47" s="1" t="str">
        <f t="shared" si="4"/>
        <v>ice</v>
      </c>
      <c r="M47" s="1"/>
      <c r="N47" s="1"/>
      <c r="O47" s="1"/>
      <c r="P47" s="14" t="str">
        <f t="shared" ca="1" si="5"/>
        <v>MovieClipSub * sphereSlot1SphereAnimaIce;</v>
      </c>
      <c r="Q47" s="14" t="str">
        <f t="shared" ca="1" si="6"/>
        <v>sphereSlot1SphereAnimaIce= sphereSlot1SphereAnima-&gt;createMovieClipSub("ice");</v>
      </c>
    </row>
    <row r="48" spans="1:17" x14ac:dyDescent="0.25">
      <c r="A48" s="69"/>
      <c r="B48" s="37" t="s">
        <v>118</v>
      </c>
      <c r="C48" s="1">
        <f t="shared" ca="1" si="0"/>
        <v>3</v>
      </c>
      <c r="D48" s="1" t="s">
        <v>82</v>
      </c>
      <c r="E48" s="1" t="s">
        <v>134</v>
      </c>
      <c r="F48" s="1" t="s">
        <v>134</v>
      </c>
      <c r="G48" s="1" t="s">
        <v>594</v>
      </c>
      <c r="H48" s="1" t="str">
        <f t="shared" ca="1" si="1"/>
        <v>sphereSlot1SphereAnimaStone</v>
      </c>
      <c r="I48" s="1" t="str">
        <f ca="1">IF(C48&lt;2,"this",IF(C48=C47,I47,IF(C48&gt;C47,H47, LOOKUP(1,0/(H$2:H47=I47),I$2:I48))))</f>
        <v>sphereSlot1SphereAnima</v>
      </c>
      <c r="J48" s="1" t="str">
        <f t="shared" si="2"/>
        <v>createMovieClipSub</v>
      </c>
      <c r="K48" s="1" t="str">
        <f t="shared" si="3"/>
        <v>stone</v>
      </c>
      <c r="L48" s="1" t="str">
        <f t="shared" si="4"/>
        <v>stone</v>
      </c>
      <c r="M48" s="1"/>
      <c r="N48" s="1"/>
      <c r="O48" s="1"/>
      <c r="P48" s="14" t="str">
        <f t="shared" ca="1" si="5"/>
        <v>MovieClipSub * sphereSlot1SphereAnimaStone;</v>
      </c>
      <c r="Q48" s="14" t="str">
        <f t="shared" ca="1" si="6"/>
        <v>sphereSlot1SphereAnimaStone= sphereSlot1SphereAnima-&gt;createMovieClipSub("stone");</v>
      </c>
    </row>
    <row r="49" spans="1:17" x14ac:dyDescent="0.25">
      <c r="A49" s="70"/>
      <c r="B49" s="37" t="s">
        <v>119</v>
      </c>
      <c r="C49" s="1">
        <f t="shared" ca="1" si="0"/>
        <v>3</v>
      </c>
      <c r="D49" s="1" t="s">
        <v>82</v>
      </c>
      <c r="E49" s="1" t="s">
        <v>134</v>
      </c>
      <c r="F49" s="1" t="s">
        <v>134</v>
      </c>
      <c r="G49" s="1" t="s">
        <v>594</v>
      </c>
      <c r="H49" s="1" t="str">
        <f t="shared" ca="1" si="1"/>
        <v>sphereSlot1SphereAnimaLevin</v>
      </c>
      <c r="I49" s="1" t="str">
        <f ca="1">IF(C49&lt;2,"this",IF(C49=C48,I48,IF(C49&gt;C48,H48, LOOKUP(1,0/(H$2:H48=I48),I$2:I49))))</f>
        <v>sphereSlot1SphereAnima</v>
      </c>
      <c r="J49" s="1" t="str">
        <f t="shared" si="2"/>
        <v>createMovieClipSub</v>
      </c>
      <c r="K49" s="1" t="str">
        <f t="shared" si="3"/>
        <v>levin</v>
      </c>
      <c r="L49" s="1" t="str">
        <f t="shared" si="4"/>
        <v>levin</v>
      </c>
      <c r="M49" s="1"/>
      <c r="N49" s="1"/>
      <c r="O49" s="1"/>
      <c r="P49" s="14" t="str">
        <f t="shared" ca="1" si="5"/>
        <v>MovieClipSub * sphereSlot1SphereAnimaLevin;</v>
      </c>
      <c r="Q49" s="14" t="str">
        <f t="shared" ca="1" si="6"/>
        <v>sphereSlot1SphereAnimaLevin= sphereSlot1SphereAnima-&gt;createMovieClipSub("levin");</v>
      </c>
    </row>
    <row r="50" spans="1:17" x14ac:dyDescent="0.25">
      <c r="A50" s="1"/>
      <c r="B50" s="3" t="s">
        <v>672</v>
      </c>
      <c r="C50" s="1">
        <f t="shared" ca="1" si="0"/>
        <v>1</v>
      </c>
      <c r="D50" s="1" t="s">
        <v>82</v>
      </c>
      <c r="E50" s="1" t="s">
        <v>134</v>
      </c>
      <c r="F50" s="1" t="s">
        <v>134</v>
      </c>
      <c r="G50" s="1" t="s">
        <v>594</v>
      </c>
      <c r="H50" s="1" t="str">
        <f ca="1">IF(OR(I50="this",LEN(I50)&lt;2),B50,CONCATENATE(I50, UPPER(LEFT(B50,1)) &amp; RIGHT(B50,LEN(B50)-1) ))</f>
        <v>sphereSlot2</v>
      </c>
      <c r="I50" s="1" t="str">
        <f ca="1">IF(C50&lt;2,"this",IF(C50=C49,I49,IF(C50&gt;C49,H49, LOOKUP(1,0/(H$2:H49=I49),I$2:I50))))</f>
        <v>this</v>
      </c>
      <c r="J50" s="1" t="str">
        <f t="shared" si="2"/>
        <v>createMovieClipSub</v>
      </c>
      <c r="K50" s="1" t="str">
        <f t="shared" si="3"/>
        <v>sphereSlot2</v>
      </c>
      <c r="L50" s="1" t="str">
        <f t="shared" si="4"/>
        <v>sphereSlot2</v>
      </c>
      <c r="M50" s="1"/>
      <c r="N50" s="1"/>
      <c r="O50" s="1"/>
      <c r="P50" s="14" t="str">
        <f t="shared" ca="1" si="5"/>
        <v>MovieClipSub * sphereSlot2;</v>
      </c>
      <c r="Q50" s="14" t="str">
        <f t="shared" ca="1" si="6"/>
        <v>sphereSlot2= this-&gt;createMovieClipSub("sphereSlot2");</v>
      </c>
    </row>
    <row r="51" spans="1:17" x14ac:dyDescent="0.25">
      <c r="A51" s="1"/>
      <c r="B51" s="4" t="s">
        <v>678</v>
      </c>
      <c r="C51" s="1">
        <f t="shared" ca="1" si="0"/>
        <v>2</v>
      </c>
      <c r="D51" s="1" t="s">
        <v>82</v>
      </c>
      <c r="E51" s="1" t="s">
        <v>134</v>
      </c>
      <c r="F51" s="1" t="s">
        <v>134</v>
      </c>
      <c r="G51" s="1" t="s">
        <v>682</v>
      </c>
      <c r="H51" s="1" t="str">
        <f t="shared" ref="H51:H52" ca="1" si="56">IF(OR(I51="this",LEN(I51)&lt;2),B51,CONCATENATE(I51, UPPER(LEFT(B51,1)) &amp; RIGHT(B51,LEN(B51)-1) ))</f>
        <v>sphereSlot2SphereSlotCase</v>
      </c>
      <c r="I51" s="1" t="str">
        <f ca="1">IF(C51&lt;2,"this",IF(C51=C50,I50,IF(C51&gt;C50,H50, LOOKUP(1,0/(H$2:H50=I50),I$2:I51))))</f>
        <v>sphereSlot2</v>
      </c>
      <c r="J51" s="1" t="str">
        <f t="shared" si="2"/>
        <v>createCase</v>
      </c>
      <c r="K51" s="1" t="str">
        <f t="shared" si="3"/>
        <v>sphereSlotCase</v>
      </c>
      <c r="L51" s="1" t="str">
        <f t="shared" si="4"/>
        <v>sphereSlotCase</v>
      </c>
      <c r="M51" s="1"/>
      <c r="N51" s="1"/>
      <c r="O51" s="1"/>
      <c r="P51" s="14" t="str">
        <f t="shared" ca="1" si="5"/>
        <v>MCCase * sphereSlot2SphereSlotCase;</v>
      </c>
      <c r="Q51" s="14" t="str">
        <f t="shared" ca="1" si="6"/>
        <v>sphereSlot2SphereSlotCase= sphereSlot2-&gt;createCase("sphereSlotCase");</v>
      </c>
    </row>
    <row r="52" spans="1:17" x14ac:dyDescent="0.25">
      <c r="A52" s="1" t="s">
        <v>733</v>
      </c>
      <c r="B52" s="4" t="s">
        <v>115</v>
      </c>
      <c r="C52" s="1">
        <f t="shared" ref="C52" ca="1" si="57">indent(B52)</f>
        <v>2</v>
      </c>
      <c r="D52" s="1" t="s">
        <v>82</v>
      </c>
      <c r="E52" s="1" t="s">
        <v>134</v>
      </c>
      <c r="F52" s="1" t="s">
        <v>134</v>
      </c>
      <c r="G52" s="1" t="s">
        <v>594</v>
      </c>
      <c r="H52" s="1" t="str">
        <f t="shared" ca="1" si="56"/>
        <v>sphereSlot2SphereAnima</v>
      </c>
      <c r="I52" s="1" t="str">
        <f ca="1">IF(C52&lt;2,"this",IF(C52=C51,I51,IF(C52&gt;C51,H51, LOOKUP(1,0/(H$2:H51=I51),I$2:I52))))</f>
        <v>sphereSlot2</v>
      </c>
      <c r="J52" s="1" t="str">
        <f t="shared" si="2"/>
        <v>createMovieClipSub</v>
      </c>
      <c r="K52" s="1" t="str">
        <f t="shared" ref="K52" si="58">B52</f>
        <v>sphereAnima</v>
      </c>
      <c r="L52" s="1" t="str">
        <f t="shared" ref="L52" si="59">B52</f>
        <v>sphereAnima</v>
      </c>
      <c r="M52" s="1"/>
      <c r="N52" s="1"/>
      <c r="O52" s="1"/>
      <c r="P52" s="14" t="str">
        <f t="shared" ca="1" si="5"/>
        <v>MovieClipSub * sphereSlot2SphereAnima;</v>
      </c>
      <c r="Q52" s="14" t="str">
        <f t="shared" ca="1" si="6"/>
        <v>sphereSlot2SphereAnima= sphereSlot2-&gt;createMovieClipSub("sphereAnima");</v>
      </c>
    </row>
    <row r="53" spans="1:17" x14ac:dyDescent="0.25">
      <c r="A53" s="1" t="s">
        <v>698</v>
      </c>
      <c r="B53" s="37" t="s">
        <v>675</v>
      </c>
      <c r="C53" s="1">
        <f t="shared" ca="1" si="0"/>
        <v>3</v>
      </c>
      <c r="D53" s="1" t="s">
        <v>82</v>
      </c>
      <c r="E53" s="1" t="s">
        <v>134</v>
      </c>
      <c r="F53" s="1" t="s">
        <v>134</v>
      </c>
      <c r="G53" s="1" t="s">
        <v>594</v>
      </c>
      <c r="H53" s="1" t="str">
        <f ca="1">IF(OR(I53="this",LEN(I53)&lt;2),B53,CONCATENATE(I53, UPPER(LEFT(B53,1)) &amp; RIGHT(B53,LEN(B53)-1) ))</f>
        <v>sphereSlot2SphereAnimaFire</v>
      </c>
      <c r="I53" s="1" t="str">
        <f ca="1">IF(C53&lt;2,"this",IF(C53=C52,I52,IF(C53&gt;C52,H52, LOOKUP(1,0/(H$2:H52=I52),I$2:I53))))</f>
        <v>sphereSlot2SphereAnima</v>
      </c>
      <c r="J53" s="1" t="str">
        <f t="shared" si="2"/>
        <v>createMovieClipSub</v>
      </c>
      <c r="K53" s="1" t="str">
        <f t="shared" si="3"/>
        <v>fire</v>
      </c>
      <c r="L53" s="1" t="str">
        <f t="shared" si="4"/>
        <v>fire</v>
      </c>
      <c r="M53" s="1"/>
      <c r="N53" s="1"/>
      <c r="O53" s="1"/>
      <c r="P53" s="14" t="str">
        <f t="shared" ca="1" si="5"/>
        <v>MovieClipSub * sphereSlot2SphereAnimaFire;</v>
      </c>
      <c r="Q53" s="14" t="str">
        <f t="shared" ca="1" si="6"/>
        <v>sphereSlot2SphereAnimaFire= sphereSlot2SphereAnima-&gt;createMovieClipSub("fire");</v>
      </c>
    </row>
    <row r="54" spans="1:17" x14ac:dyDescent="0.25">
      <c r="A54" s="1"/>
      <c r="B54" s="37" t="s">
        <v>117</v>
      </c>
      <c r="C54" s="1">
        <f t="shared" ca="1" si="0"/>
        <v>3</v>
      </c>
      <c r="D54" s="1" t="s">
        <v>82</v>
      </c>
      <c r="E54" s="1" t="s">
        <v>134</v>
      </c>
      <c r="F54" s="1" t="s">
        <v>134</v>
      </c>
      <c r="G54" s="1" t="s">
        <v>594</v>
      </c>
      <c r="H54" s="1" t="str">
        <f t="shared" ca="1" si="1"/>
        <v>sphereSlot2SphereAnimaIce</v>
      </c>
      <c r="I54" s="1" t="str">
        <f ca="1">IF(C54&lt;2,"this",IF(C54=C53,I53,IF(C54&gt;C53,H53, LOOKUP(1,0/(H$2:H53=I53),I$2:I54))))</f>
        <v>sphereSlot2SphereAnima</v>
      </c>
      <c r="J54" s="1" t="str">
        <f t="shared" si="2"/>
        <v>createMovieClipSub</v>
      </c>
      <c r="K54" s="1" t="str">
        <f t="shared" si="3"/>
        <v>ice</v>
      </c>
      <c r="L54" s="1" t="str">
        <f t="shared" si="4"/>
        <v>ice</v>
      </c>
      <c r="M54" s="1"/>
      <c r="N54" s="1"/>
      <c r="O54" s="1"/>
      <c r="P54" s="14" t="str">
        <f t="shared" ca="1" si="5"/>
        <v>MovieClipSub * sphereSlot2SphereAnimaIce;</v>
      </c>
      <c r="Q54" s="14" t="str">
        <f t="shared" ca="1" si="6"/>
        <v>sphereSlot2SphereAnimaIce= sphereSlot2SphereAnima-&gt;createMovieClipSub("ice");</v>
      </c>
    </row>
    <row r="55" spans="1:17" x14ac:dyDescent="0.25">
      <c r="A55" s="1"/>
      <c r="B55" s="37" t="s">
        <v>118</v>
      </c>
      <c r="C55" s="1">
        <f t="shared" ca="1" si="0"/>
        <v>3</v>
      </c>
      <c r="D55" s="1" t="s">
        <v>82</v>
      </c>
      <c r="E55" s="1" t="s">
        <v>134</v>
      </c>
      <c r="F55" s="1" t="s">
        <v>134</v>
      </c>
      <c r="G55" s="1" t="s">
        <v>594</v>
      </c>
      <c r="H55" s="1" t="str">
        <f t="shared" ca="1" si="1"/>
        <v>sphereSlot2SphereAnimaStone</v>
      </c>
      <c r="I55" s="1" t="str">
        <f ca="1">IF(C55&lt;2,"this",IF(C55=C54,I54,IF(C55&gt;C54,H54, LOOKUP(1,0/(H$2:H54=I54),I$2:I55))))</f>
        <v>sphereSlot2SphereAnima</v>
      </c>
      <c r="J55" s="1" t="str">
        <f t="shared" si="2"/>
        <v>createMovieClipSub</v>
      </c>
      <c r="K55" s="1" t="str">
        <f t="shared" si="3"/>
        <v>stone</v>
      </c>
      <c r="L55" s="1" t="str">
        <f t="shared" si="4"/>
        <v>stone</v>
      </c>
      <c r="M55" s="1"/>
      <c r="N55" s="1"/>
      <c r="O55" s="1"/>
      <c r="P55" s="14" t="str">
        <f t="shared" ca="1" si="5"/>
        <v>MovieClipSub * sphereSlot2SphereAnimaStone;</v>
      </c>
      <c r="Q55" s="14" t="str">
        <f t="shared" ca="1" si="6"/>
        <v>sphereSlot2SphereAnimaStone= sphereSlot2SphereAnima-&gt;createMovieClipSub("stone");</v>
      </c>
    </row>
    <row r="56" spans="1:17" x14ac:dyDescent="0.25">
      <c r="A56" s="1"/>
      <c r="B56" s="37" t="s">
        <v>119</v>
      </c>
      <c r="C56" s="1">
        <f t="shared" ca="1" si="0"/>
        <v>3</v>
      </c>
      <c r="D56" s="1" t="s">
        <v>82</v>
      </c>
      <c r="E56" s="1" t="s">
        <v>134</v>
      </c>
      <c r="F56" s="1" t="s">
        <v>134</v>
      </c>
      <c r="G56" s="1" t="s">
        <v>594</v>
      </c>
      <c r="H56" s="1" t="str">
        <f t="shared" ca="1" si="1"/>
        <v>sphereSlot2SphereAnimaLevin</v>
      </c>
      <c r="I56" s="1" t="str">
        <f ca="1">IF(C56&lt;2,"this",IF(C56=C55,I55,IF(C56&gt;C55,H55, LOOKUP(1,0/(H$2:H55=I55),I$2:I56))))</f>
        <v>sphereSlot2SphereAnima</v>
      </c>
      <c r="J56" s="1" t="str">
        <f t="shared" si="2"/>
        <v>createMovieClipSub</v>
      </c>
      <c r="K56" s="1" t="str">
        <f t="shared" si="3"/>
        <v>levin</v>
      </c>
      <c r="L56" s="1" t="str">
        <f t="shared" si="4"/>
        <v>levin</v>
      </c>
      <c r="M56" s="1"/>
      <c r="N56" s="1"/>
      <c r="O56" s="1"/>
      <c r="P56" s="14" t="str">
        <f t="shared" ca="1" si="5"/>
        <v>MovieClipSub * sphereSlot2SphereAnimaLevin;</v>
      </c>
      <c r="Q56" s="14" t="str">
        <f t="shared" ca="1" si="6"/>
        <v>sphereSlot2SphereAnimaLevin= sphereSlot2SphereAnima-&gt;createMovieClipSub("levin");</v>
      </c>
    </row>
    <row r="57" spans="1:17" x14ac:dyDescent="0.25">
      <c r="A57" s="1"/>
      <c r="B57" s="3" t="s">
        <v>673</v>
      </c>
      <c r="C57" s="1">
        <f t="shared" ca="1" si="0"/>
        <v>1</v>
      </c>
      <c r="D57" s="1" t="s">
        <v>82</v>
      </c>
      <c r="E57" s="1" t="s">
        <v>134</v>
      </c>
      <c r="F57" s="1" t="s">
        <v>134</v>
      </c>
      <c r="G57" s="1" t="s">
        <v>594</v>
      </c>
      <c r="H57" s="1" t="str">
        <f t="shared" ca="1" si="1"/>
        <v>sphereSlot3</v>
      </c>
      <c r="I57" s="1" t="str">
        <f ca="1">IF(C57&lt;2,"this",IF(C57=C56,I56,IF(C57&gt;C56,H56, LOOKUP(1,0/(H$2:H56=I56),I$2:I57))))</f>
        <v>this</v>
      </c>
      <c r="J57" s="1" t="str">
        <f t="shared" si="2"/>
        <v>createMovieClipSub</v>
      </c>
      <c r="K57" s="1" t="str">
        <f t="shared" si="3"/>
        <v>sphereSlot3</v>
      </c>
      <c r="L57" s="1" t="str">
        <f t="shared" si="4"/>
        <v>sphereSlot3</v>
      </c>
      <c r="M57" s="1"/>
      <c r="N57" s="1"/>
      <c r="O57" s="1"/>
      <c r="P57" s="14" t="str">
        <f t="shared" ca="1" si="5"/>
        <v>MovieClipSub * sphereSlot3;</v>
      </c>
      <c r="Q57" s="14" t="str">
        <f t="shared" ca="1" si="6"/>
        <v>sphereSlot3= this-&gt;createMovieClipSub("sphereSlot3");</v>
      </c>
    </row>
    <row r="58" spans="1:17" x14ac:dyDescent="0.25">
      <c r="A58" s="1"/>
      <c r="B58" s="4" t="s">
        <v>678</v>
      </c>
      <c r="C58" s="1">
        <f t="shared" ref="C58:C59" ca="1" si="60">indent(B58)</f>
        <v>2</v>
      </c>
      <c r="D58" s="1" t="s">
        <v>82</v>
      </c>
      <c r="E58" s="1" t="s">
        <v>134</v>
      </c>
      <c r="F58" s="1" t="s">
        <v>134</v>
      </c>
      <c r="G58" s="1" t="s">
        <v>682</v>
      </c>
      <c r="H58" s="1" t="str">
        <f t="shared" ca="1" si="1"/>
        <v>sphereSlot3SphereSlotCase</v>
      </c>
      <c r="I58" s="1" t="str">
        <f ca="1">IF(C58&lt;2,"this",IF(C58=C57,I57,IF(C58&gt;C57,H57, LOOKUP(1,0/(H$2:H57=I57),I$2:I58))))</f>
        <v>sphereSlot3</v>
      </c>
      <c r="J58" s="1" t="str">
        <f t="shared" si="2"/>
        <v>createCase</v>
      </c>
      <c r="K58" s="1" t="str">
        <f t="shared" ref="K58:K59" si="61">B58</f>
        <v>sphereSlotCase</v>
      </c>
      <c r="L58" s="1" t="str">
        <f t="shared" ref="L58:L59" si="62">B58</f>
        <v>sphereSlotCase</v>
      </c>
      <c r="M58" s="1"/>
      <c r="N58" s="1"/>
      <c r="O58" s="1"/>
      <c r="P58" s="14" t="str">
        <f t="shared" ca="1" si="5"/>
        <v>MCCase * sphereSlot3SphereSlotCase;</v>
      </c>
      <c r="Q58" s="14" t="str">
        <f t="shared" ca="1" si="6"/>
        <v>sphereSlot3SphereSlotCase= sphereSlot3-&gt;createCase("sphereSlotCase");</v>
      </c>
    </row>
    <row r="59" spans="1:17" x14ac:dyDescent="0.25">
      <c r="A59" s="1"/>
      <c r="B59" s="4" t="s">
        <v>115</v>
      </c>
      <c r="C59" s="1">
        <f t="shared" ca="1" si="60"/>
        <v>2</v>
      </c>
      <c r="D59" s="1" t="s">
        <v>82</v>
      </c>
      <c r="E59" s="1" t="s">
        <v>134</v>
      </c>
      <c r="F59" s="1" t="s">
        <v>134</v>
      </c>
      <c r="G59" s="1" t="s">
        <v>594</v>
      </c>
      <c r="H59" s="1" t="str">
        <f t="shared" ca="1" si="1"/>
        <v>sphereSlot3SphereAnima</v>
      </c>
      <c r="I59" s="1" t="str">
        <f ca="1">IF(C59&lt;2,"this",IF(C59=C58,I58,IF(C59&gt;C58,H58, LOOKUP(1,0/(H$2:H58=I58),I$2:I59))))</f>
        <v>sphereSlot3</v>
      </c>
      <c r="J59" s="1" t="str">
        <f t="shared" si="2"/>
        <v>createMovieClipSub</v>
      </c>
      <c r="K59" s="1" t="str">
        <f t="shared" si="61"/>
        <v>sphereAnima</v>
      </c>
      <c r="L59" s="1" t="str">
        <f t="shared" si="62"/>
        <v>sphereAnima</v>
      </c>
      <c r="M59" s="1"/>
      <c r="N59" s="1"/>
      <c r="O59" s="1"/>
      <c r="P59" s="14" t="str">
        <f t="shared" ca="1" si="5"/>
        <v>MovieClipSub * sphereSlot3SphereAnima;</v>
      </c>
      <c r="Q59" s="14" t="str">
        <f t="shared" ca="1" si="6"/>
        <v>sphereSlot3SphereAnima= sphereSlot3-&gt;createMovieClipSub("sphereAnima");</v>
      </c>
    </row>
    <row r="60" spans="1:17" x14ac:dyDescent="0.25">
      <c r="A60" s="1" t="s">
        <v>698</v>
      </c>
      <c r="B60" s="37" t="s">
        <v>658</v>
      </c>
      <c r="C60" s="1">
        <f t="shared" ca="1" si="0"/>
        <v>3</v>
      </c>
      <c r="D60" s="1" t="s">
        <v>82</v>
      </c>
      <c r="E60" s="1" t="s">
        <v>134</v>
      </c>
      <c r="F60" s="1" t="s">
        <v>134</v>
      </c>
      <c r="G60" s="1" t="s">
        <v>594</v>
      </c>
      <c r="H60" s="1" t="str">
        <f t="shared" ca="1" si="1"/>
        <v>sphereSlot3SphereAnimaFire</v>
      </c>
      <c r="I60" s="1" t="str">
        <f ca="1">IF(C60&lt;2,"this",IF(C60=C59,I59,IF(C60&gt;C59,H59, LOOKUP(1,0/(H$2:H59=I59),I$2:I60))))</f>
        <v>sphereSlot3SphereAnima</v>
      </c>
      <c r="J60" s="1" t="str">
        <f t="shared" si="2"/>
        <v>createMovieClipSub</v>
      </c>
      <c r="K60" s="1" t="str">
        <f t="shared" si="3"/>
        <v>fire</v>
      </c>
      <c r="L60" s="1" t="str">
        <f t="shared" si="4"/>
        <v>fire</v>
      </c>
      <c r="M60" s="1"/>
      <c r="N60" s="1"/>
      <c r="O60" s="1"/>
      <c r="P60" s="14" t="str">
        <f t="shared" ca="1" si="5"/>
        <v>MovieClipSub * sphereSlot3SphereAnimaFire;</v>
      </c>
      <c r="Q60" s="14" t="str">
        <f t="shared" ca="1" si="6"/>
        <v>sphereSlot3SphereAnimaFire= sphereSlot3SphereAnima-&gt;createMovieClipSub("fire");</v>
      </c>
    </row>
    <row r="61" spans="1:17" x14ac:dyDescent="0.25">
      <c r="A61" s="1"/>
      <c r="B61" s="37" t="s">
        <v>117</v>
      </c>
      <c r="C61" s="1">
        <f t="shared" ca="1" si="0"/>
        <v>3</v>
      </c>
      <c r="D61" s="1" t="s">
        <v>82</v>
      </c>
      <c r="E61" s="1" t="s">
        <v>134</v>
      </c>
      <c r="F61" s="1" t="s">
        <v>134</v>
      </c>
      <c r="G61" s="1" t="s">
        <v>594</v>
      </c>
      <c r="H61" s="1" t="str">
        <f t="shared" ca="1" si="1"/>
        <v>sphereSlot3SphereAnimaIce</v>
      </c>
      <c r="I61" s="1" t="str">
        <f ca="1">IF(C61&lt;2,"this",IF(C61=C60,I60,IF(C61&gt;C60,H60, LOOKUP(1,0/(H$2:H60=I60),I$2:I61))))</f>
        <v>sphereSlot3SphereAnima</v>
      </c>
      <c r="J61" s="1" t="str">
        <f t="shared" si="2"/>
        <v>createMovieClipSub</v>
      </c>
      <c r="K61" s="1" t="str">
        <f t="shared" si="3"/>
        <v>ice</v>
      </c>
      <c r="L61" s="1" t="str">
        <f t="shared" si="4"/>
        <v>ice</v>
      </c>
      <c r="M61" s="1"/>
      <c r="N61" s="1"/>
      <c r="O61" s="1"/>
      <c r="P61" s="14" t="str">
        <f t="shared" ca="1" si="5"/>
        <v>MovieClipSub * sphereSlot3SphereAnimaIce;</v>
      </c>
      <c r="Q61" s="14" t="str">
        <f t="shared" ca="1" si="6"/>
        <v>sphereSlot3SphereAnimaIce= sphereSlot3SphereAnima-&gt;createMovieClipSub("ice");</v>
      </c>
    </row>
    <row r="62" spans="1:17" x14ac:dyDescent="0.25">
      <c r="A62" s="1"/>
      <c r="B62" s="37" t="s">
        <v>118</v>
      </c>
      <c r="C62" s="1">
        <f t="shared" ca="1" si="0"/>
        <v>3</v>
      </c>
      <c r="D62" s="1" t="s">
        <v>82</v>
      </c>
      <c r="E62" s="1" t="s">
        <v>134</v>
      </c>
      <c r="F62" s="1" t="s">
        <v>134</v>
      </c>
      <c r="G62" s="1" t="s">
        <v>594</v>
      </c>
      <c r="H62" s="1" t="str">
        <f t="shared" ca="1" si="1"/>
        <v>sphereSlot3SphereAnimaStone</v>
      </c>
      <c r="I62" s="1" t="str">
        <f ca="1">IF(C62&lt;2,"this",IF(C62=C61,I61,IF(C62&gt;C61,H61, LOOKUP(1,0/(H$2:H61=I61),I$2:I62))))</f>
        <v>sphereSlot3SphereAnima</v>
      </c>
      <c r="J62" s="1" t="str">
        <f t="shared" si="2"/>
        <v>createMovieClipSub</v>
      </c>
      <c r="K62" s="1" t="str">
        <f t="shared" si="3"/>
        <v>stone</v>
      </c>
      <c r="L62" s="1" t="str">
        <f t="shared" si="4"/>
        <v>stone</v>
      </c>
      <c r="M62" s="1"/>
      <c r="N62" s="1"/>
      <c r="O62" s="1"/>
      <c r="P62" s="14" t="str">
        <f t="shared" ca="1" si="5"/>
        <v>MovieClipSub * sphereSlot3SphereAnimaStone;</v>
      </c>
      <c r="Q62" s="14" t="str">
        <f t="shared" ca="1" si="6"/>
        <v>sphereSlot3SphereAnimaStone= sphereSlot3SphereAnima-&gt;createMovieClipSub("stone");</v>
      </c>
    </row>
    <row r="63" spans="1:17" x14ac:dyDescent="0.25">
      <c r="A63" s="1"/>
      <c r="B63" s="37" t="s">
        <v>119</v>
      </c>
      <c r="C63" s="1">
        <f t="shared" ca="1" si="0"/>
        <v>3</v>
      </c>
      <c r="D63" s="1" t="s">
        <v>82</v>
      </c>
      <c r="E63" s="1" t="s">
        <v>134</v>
      </c>
      <c r="F63" s="1" t="s">
        <v>134</v>
      </c>
      <c r="G63" s="1" t="s">
        <v>594</v>
      </c>
      <c r="H63" s="1" t="str">
        <f t="shared" ca="1" si="1"/>
        <v>sphereSlot3SphereAnimaLevin</v>
      </c>
      <c r="I63" s="1" t="str">
        <f ca="1">IF(C63&lt;2,"this",IF(C63=C62,I62,IF(C63&gt;C62,H62, LOOKUP(1,0/(H$2:H62=I62),I$2:I63))))</f>
        <v>sphereSlot3SphereAnima</v>
      </c>
      <c r="J63" s="1" t="str">
        <f t="shared" si="2"/>
        <v>createMovieClipSub</v>
      </c>
      <c r="K63" s="1" t="str">
        <f t="shared" si="3"/>
        <v>levin</v>
      </c>
      <c r="L63" s="1" t="str">
        <f t="shared" si="4"/>
        <v>levin</v>
      </c>
      <c r="M63" s="1"/>
      <c r="N63" s="1"/>
      <c r="O63" s="1"/>
      <c r="P63" s="14" t="str">
        <f t="shared" ca="1" si="5"/>
        <v>MovieClipSub * sphereSlot3SphereAnimaLevin;</v>
      </c>
      <c r="Q63" s="14" t="str">
        <f t="shared" ca="1" si="6"/>
        <v>sphereSlot3SphereAnimaLevin= sphereSlot3SphereAnima-&gt;createMovieClipSub("levin");</v>
      </c>
    </row>
    <row r="64" spans="1:17" x14ac:dyDescent="0.25">
      <c r="A64" s="1"/>
      <c r="B64" s="3" t="s">
        <v>674</v>
      </c>
      <c r="C64" s="1">
        <f t="shared" ca="1" si="0"/>
        <v>1</v>
      </c>
      <c r="D64" s="1" t="s">
        <v>82</v>
      </c>
      <c r="E64" s="1" t="s">
        <v>134</v>
      </c>
      <c r="F64" s="1" t="s">
        <v>134</v>
      </c>
      <c r="G64" s="1" t="s">
        <v>594</v>
      </c>
      <c r="H64" s="1" t="str">
        <f t="shared" ca="1" si="1"/>
        <v>sphereSlot4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createMovieClipSub</v>
      </c>
      <c r="K64" s="1" t="str">
        <f t="shared" si="3"/>
        <v>sphereSlot4</v>
      </c>
      <c r="L64" s="1" t="str">
        <f t="shared" si="4"/>
        <v>sphereSlot4</v>
      </c>
      <c r="M64" s="1"/>
      <c r="N64" s="1"/>
      <c r="O64" s="1"/>
      <c r="P64" s="14" t="str">
        <f t="shared" ca="1" si="5"/>
        <v>MovieClipSub * sphereSlot4;</v>
      </c>
      <c r="Q64" s="14" t="str">
        <f t="shared" ca="1" si="6"/>
        <v>sphereSlot4= this-&gt;createMovieClipSub("sphereSlot4");</v>
      </c>
    </row>
    <row r="65" spans="1:17" x14ac:dyDescent="0.25">
      <c r="A65" s="1"/>
      <c r="B65" s="4" t="s">
        <v>678</v>
      </c>
      <c r="C65" s="1">
        <f t="shared" ca="1" si="0"/>
        <v>2</v>
      </c>
      <c r="D65" s="1" t="s">
        <v>82</v>
      </c>
      <c r="E65" s="1" t="s">
        <v>134</v>
      </c>
      <c r="F65" s="1" t="s">
        <v>134</v>
      </c>
      <c r="G65" s="1" t="s">
        <v>682</v>
      </c>
      <c r="H65" s="1" t="str">
        <f t="shared" ref="H65:H66" ca="1" si="63">IF(OR(I65="this",LEN(I65)&lt;2),B65,CONCATENATE(I65, UPPER(LEFT(B65,1)) &amp; RIGHT(B65,LEN(B65)-1) ))</f>
        <v>sphereSlot4SphereSlotCase</v>
      </c>
      <c r="I65" s="1" t="str">
        <f ca="1">IF(C65&lt;2,"this",IF(C65=C64,I64,IF(C65&gt;C64,H64, LOOKUP(1,0/(H$2:H64=I64),I$2:I65))))</f>
        <v>sphereSlot4</v>
      </c>
      <c r="J65" s="1" t="str">
        <f t="shared" si="2"/>
        <v>createCase</v>
      </c>
      <c r="K65" s="1" t="str">
        <f t="shared" si="3"/>
        <v>sphereSlotCase</v>
      </c>
      <c r="L65" s="1" t="str">
        <f t="shared" si="4"/>
        <v>sphereSlotCase</v>
      </c>
      <c r="M65" s="1"/>
      <c r="N65" s="1"/>
      <c r="O65" s="1"/>
      <c r="P65" s="14" t="str">
        <f t="shared" ca="1" si="5"/>
        <v>MCCase * sphereSlot4SphereSlotCase;</v>
      </c>
      <c r="Q65" s="14" t="str">
        <f t="shared" ca="1" si="6"/>
        <v>sphereSlot4SphereSlotCase= sphereSlot4-&gt;createCase("sphereSlotCase");</v>
      </c>
    </row>
    <row r="66" spans="1:17" x14ac:dyDescent="0.25">
      <c r="A66" s="1"/>
      <c r="B66" s="4" t="s">
        <v>115</v>
      </c>
      <c r="C66" s="1">
        <f t="shared" ca="1" si="0"/>
        <v>2</v>
      </c>
      <c r="D66" s="1" t="s">
        <v>82</v>
      </c>
      <c r="E66" s="1" t="s">
        <v>134</v>
      </c>
      <c r="F66" s="1" t="s">
        <v>134</v>
      </c>
      <c r="G66" s="1" t="s">
        <v>594</v>
      </c>
      <c r="H66" s="1" t="str">
        <f t="shared" ca="1" si="63"/>
        <v>sphereSlot4SphereAnima</v>
      </c>
      <c r="I66" s="1" t="str">
        <f ca="1">IF(C66&lt;2,"this",IF(C66=C65,I65,IF(C66&gt;C65,H65, LOOKUP(1,0/(H$2:H65=I65),I$2:I66))))</f>
        <v>sphereSlot4</v>
      </c>
      <c r="J66" s="1" t="str">
        <f t="shared" si="2"/>
        <v>createMovieClipSub</v>
      </c>
      <c r="K66" s="1" t="str">
        <f t="shared" si="3"/>
        <v>sphereAnima</v>
      </c>
      <c r="L66" s="1" t="str">
        <f t="shared" si="4"/>
        <v>sphereAnima</v>
      </c>
      <c r="M66" s="1"/>
      <c r="N66" s="1"/>
      <c r="O66" s="1"/>
      <c r="P66" s="14" t="str">
        <f t="shared" ca="1" si="5"/>
        <v>MovieClipSub * sphereSlot4SphereAnima;</v>
      </c>
      <c r="Q66" s="14" t="str">
        <f t="shared" ca="1" si="6"/>
        <v>sphereSlot4SphereAnima= sphereSlot4-&gt;createMovieClipSub("sphereAnima");</v>
      </c>
    </row>
    <row r="67" spans="1:17" x14ac:dyDescent="0.25">
      <c r="A67" s="1" t="s">
        <v>698</v>
      </c>
      <c r="B67" s="37" t="s">
        <v>697</v>
      </c>
      <c r="C67" s="1">
        <f t="shared" ca="1" si="0"/>
        <v>3</v>
      </c>
      <c r="D67" s="1" t="s">
        <v>82</v>
      </c>
      <c r="E67" s="1" t="s">
        <v>134</v>
      </c>
      <c r="F67" s="1" t="s">
        <v>134</v>
      </c>
      <c r="G67" s="1" t="s">
        <v>594</v>
      </c>
      <c r="H67" s="1" t="str">
        <f t="shared" ca="1" si="1"/>
        <v>sphereSlot4SphereAnimaFire</v>
      </c>
      <c r="I67" s="1" t="str">
        <f ca="1">IF(C67&lt;2,"this",IF(C67=C66,I66,IF(C67&gt;C66,H66, LOOKUP(1,0/(H$2:H66=I66),I$2:I67))))</f>
        <v>sphereSlot4SphereAnima</v>
      </c>
      <c r="J67" s="1" t="str">
        <f t="shared" si="2"/>
        <v>createMovieClipSub</v>
      </c>
      <c r="K67" s="1" t="str">
        <f t="shared" si="3"/>
        <v>fire</v>
      </c>
      <c r="L67" s="1" t="str">
        <f t="shared" si="4"/>
        <v>fire</v>
      </c>
      <c r="M67" s="1"/>
      <c r="N67" s="1"/>
      <c r="O67" s="1"/>
      <c r="P67" s="14" t="str">
        <f t="shared" ca="1" si="5"/>
        <v>MovieClipSub * sphereSlot4SphereAnimaFire;</v>
      </c>
      <c r="Q67" s="14" t="str">
        <f t="shared" ca="1" si="6"/>
        <v>sphereSlot4SphereAnimaFire= sphereSlot4SphereAnima-&gt;createMovieClipSub("fire");</v>
      </c>
    </row>
    <row r="68" spans="1:17" x14ac:dyDescent="0.25">
      <c r="A68" s="1"/>
      <c r="B68" s="37" t="s">
        <v>117</v>
      </c>
      <c r="C68" s="1">
        <f t="shared" ca="1" si="0"/>
        <v>3</v>
      </c>
      <c r="D68" s="1" t="s">
        <v>82</v>
      </c>
      <c r="E68" s="1" t="s">
        <v>134</v>
      </c>
      <c r="F68" s="1" t="s">
        <v>134</v>
      </c>
      <c r="G68" s="1" t="s">
        <v>594</v>
      </c>
      <c r="H68" s="1" t="str">
        <f t="shared" ca="1" si="1"/>
        <v>sphereSlot4SphereAnimaIce</v>
      </c>
      <c r="I68" s="1" t="str">
        <f ca="1">IF(C68&lt;2,"this",IF(C68=C67,I67,IF(C68&gt;C67,H67, LOOKUP(1,0/(H$2:H67=I67),I$2:I68))))</f>
        <v>sphereSlot4SphereAnima</v>
      </c>
      <c r="J68" s="1" t="str">
        <f t="shared" si="2"/>
        <v>createMovieClipSub</v>
      </c>
      <c r="K68" s="1" t="str">
        <f t="shared" si="3"/>
        <v>ice</v>
      </c>
      <c r="L68" s="1" t="str">
        <f t="shared" si="4"/>
        <v>ice</v>
      </c>
      <c r="M68" s="1"/>
      <c r="N68" s="1"/>
      <c r="O68" s="1"/>
      <c r="P68" s="14" t="str">
        <f t="shared" ca="1" si="5"/>
        <v>MovieClipSub * sphereSlot4SphereAnimaIce;</v>
      </c>
      <c r="Q68" s="14" t="str">
        <f t="shared" ca="1" si="6"/>
        <v>sphereSlot4SphereAnimaIce= sphereSlot4SphereAnima-&gt;createMovieClipSub("ice");</v>
      </c>
    </row>
    <row r="69" spans="1:17" x14ac:dyDescent="0.25">
      <c r="A69" s="1"/>
      <c r="B69" s="37" t="s">
        <v>118</v>
      </c>
      <c r="C69" s="1">
        <f t="shared" ca="1" si="0"/>
        <v>3</v>
      </c>
      <c r="D69" s="1" t="s">
        <v>82</v>
      </c>
      <c r="E69" s="1" t="s">
        <v>134</v>
      </c>
      <c r="F69" s="1" t="s">
        <v>134</v>
      </c>
      <c r="G69" s="1" t="s">
        <v>594</v>
      </c>
      <c r="H69" s="1" t="str">
        <f t="shared" ca="1" si="1"/>
        <v>sphereSlot4SphereAnimaStone</v>
      </c>
      <c r="I69" s="1" t="str">
        <f ca="1">IF(C69&lt;2,"this",IF(C69=C68,I68,IF(C69&gt;C68,H68, LOOKUP(1,0/(H$2:H68=I68),I$2:I69))))</f>
        <v>sphereSlot4SphereAnima</v>
      </c>
      <c r="J69" s="1" t="str">
        <f t="shared" si="2"/>
        <v>createMovieClipSub</v>
      </c>
      <c r="K69" s="1" t="str">
        <f t="shared" si="3"/>
        <v>stone</v>
      </c>
      <c r="L69" s="1" t="str">
        <f t="shared" si="4"/>
        <v>stone</v>
      </c>
      <c r="M69" s="1"/>
      <c r="N69" s="1"/>
      <c r="O69" s="1"/>
      <c r="P69" s="14" t="str">
        <f t="shared" ca="1" si="5"/>
        <v>MovieClipSub * sphereSlot4SphereAnimaStone;</v>
      </c>
      <c r="Q69" s="14" t="str">
        <f t="shared" ca="1" si="6"/>
        <v>sphereSlot4SphereAnimaStone= sphereSlot4SphereAnima-&gt;createMovieClipSub("stone");</v>
      </c>
    </row>
    <row r="70" spans="1:17" x14ac:dyDescent="0.25">
      <c r="A70" s="1"/>
      <c r="B70" s="37" t="s">
        <v>119</v>
      </c>
      <c r="C70" s="1">
        <f t="shared" ca="1" si="0"/>
        <v>3</v>
      </c>
      <c r="D70" s="1" t="s">
        <v>82</v>
      </c>
      <c r="E70" s="1" t="s">
        <v>134</v>
      </c>
      <c r="F70" s="1" t="s">
        <v>134</v>
      </c>
      <c r="G70" s="1" t="s">
        <v>594</v>
      </c>
      <c r="H70" s="1" t="str">
        <f t="shared" ca="1" si="1"/>
        <v>sphereSlot4SphereAnimaLevin</v>
      </c>
      <c r="I70" s="1" t="str">
        <f ca="1">IF(C70&lt;2,"this",IF(C70=C69,I69,IF(C70&gt;C69,H69, LOOKUP(1,0/(H$2:H69=I69),I$2:I70))))</f>
        <v>sphereSlot4SphereAnima</v>
      </c>
      <c r="J70" s="1" t="str">
        <f t="shared" si="2"/>
        <v>createMovieClipSub</v>
      </c>
      <c r="K70" s="1" t="str">
        <f t="shared" si="3"/>
        <v>levin</v>
      </c>
      <c r="L70" s="1" t="str">
        <f t="shared" si="4"/>
        <v>levin</v>
      </c>
      <c r="M70" s="1"/>
      <c r="N70" s="1"/>
      <c r="O70" s="1"/>
      <c r="P70" s="14" t="str">
        <f t="shared" ca="1" si="5"/>
        <v>MovieClipSub * sphereSlot4SphereAnimaLevin;</v>
      </c>
      <c r="Q70" s="14" t="str">
        <f t="shared" ca="1" si="6"/>
        <v>sphereSlot4SphereAnimaLevin= sphereSlot4SphereAnima-&gt;createMovieClipSub("levin");</v>
      </c>
    </row>
    <row r="71" spans="1:17" x14ac:dyDescent="0.25">
      <c r="A71" s="1" t="s">
        <v>145</v>
      </c>
      <c r="B71" s="21" t="s">
        <v>144</v>
      </c>
      <c r="C71" s="1">
        <f t="shared" ca="1" si="0"/>
        <v>0</v>
      </c>
      <c r="D71" s="1" t="s">
        <v>82</v>
      </c>
      <c r="E71" s="1" t="s">
        <v>705</v>
      </c>
      <c r="F71" s="1" t="s">
        <v>704</v>
      </c>
      <c r="G71" s="21" t="s">
        <v>595</v>
      </c>
      <c r="H71" s="1" t="str">
        <f t="shared" ca="1" si="1"/>
        <v>AnimUpgrade_mc</v>
      </c>
      <c r="I71" s="1" t="str">
        <f ca="1">IF(C71&lt;2,"this",IF(C71=C70,I70,IF(C71&gt;C70,H70, LOOKUP(1,0/(H$2:H70=I70),I$2:I71))))</f>
        <v>this</v>
      </c>
      <c r="J71" s="1" t="str">
        <f t="shared" si="2"/>
        <v>createMovieClip</v>
      </c>
      <c r="K71" s="1" t="str">
        <f t="shared" si="3"/>
        <v>AnimUpgrade_mc</v>
      </c>
      <c r="L71" s="1" t="str">
        <f t="shared" si="4"/>
        <v>AnimUpgrade_mc</v>
      </c>
      <c r="M71" s="1"/>
      <c r="N71" s="1"/>
      <c r="O71" s="1"/>
      <c r="P71" s="14" t="str">
        <f t="shared" ca="1" si="5"/>
        <v/>
      </c>
      <c r="Q71" s="14" t="str">
        <f t="shared" ca="1" si="6"/>
        <v>AnimUpgrade_mc::AnimUpgrade_mc:MovieClip("tower","AnimUpgrade_mc","AnimUpgrade_mc"{)</v>
      </c>
    </row>
    <row r="72" spans="1:17" x14ac:dyDescent="0.25">
      <c r="A72" s="1" t="s">
        <v>143</v>
      </c>
      <c r="B72" s="21" t="s">
        <v>120</v>
      </c>
      <c r="C72" s="1">
        <f t="shared" ca="1" si="0"/>
        <v>0</v>
      </c>
      <c r="D72" s="1" t="s">
        <v>82</v>
      </c>
      <c r="E72" s="1" t="s">
        <v>702</v>
      </c>
      <c r="F72" s="1" t="s">
        <v>702</v>
      </c>
      <c r="G72" s="21" t="s">
        <v>701</v>
      </c>
      <c r="H72" s="1" t="str">
        <f t="shared" ca="1" si="1"/>
        <v>TowerRadius_mc</v>
      </c>
      <c r="I72" s="1" t="str">
        <f ca="1">IF(C72&lt;2,"this",IF(C72=C71,I71,IF(C72&gt;C71,H71, LOOKUP(1,0/(H$2:H71=I71),I$2:I72))))</f>
        <v>this</v>
      </c>
      <c r="J72" s="1" t="str">
        <f t="shared" si="2"/>
        <v>createSprite</v>
      </c>
      <c r="K72" s="1" t="str">
        <f t="shared" si="3"/>
        <v>TowerRadius_mc</v>
      </c>
      <c r="L72" s="1" t="str">
        <f t="shared" si="4"/>
        <v>TowerRadius_mc</v>
      </c>
      <c r="M72" s="58" t="s">
        <v>703</v>
      </c>
      <c r="N72" s="59"/>
      <c r="O72" s="60"/>
      <c r="P72" s="14" t="str">
        <f t="shared" ca="1" si="5"/>
        <v/>
      </c>
      <c r="Q72" s="14" t="str">
        <f t="shared" ca="1" si="6"/>
        <v>TowerRadius_mc::TowerRadius_mc:Sprite("tower","TowerRadius_mc","TowerRadius_mc"{)</v>
      </c>
    </row>
    <row r="73" spans="1:17" x14ac:dyDescent="0.25">
      <c r="A73" s="1" t="s">
        <v>146</v>
      </c>
      <c r="B73" s="21" t="s">
        <v>711</v>
      </c>
      <c r="C73" s="1">
        <f t="shared" ca="1" si="0"/>
        <v>0</v>
      </c>
      <c r="D73" s="1" t="s">
        <v>82</v>
      </c>
      <c r="E73" s="1" t="s">
        <v>134</v>
      </c>
      <c r="F73" s="1" t="s">
        <v>134</v>
      </c>
      <c r="G73" s="21" t="s">
        <v>595</v>
      </c>
      <c r="H73" s="1" t="str">
        <f t="shared" ca="1" si="1"/>
        <v>UltraTowerMenu_mc</v>
      </c>
      <c r="I73" s="1" t="str">
        <f ca="1">IF(C73&lt;2,"this",IF(C73=C72,I72,IF(C73&gt;C72,H72, LOOKUP(1,0/(H$2:H72=I72),I$2:I73))))</f>
        <v>this</v>
      </c>
      <c r="J73" s="1" t="str">
        <f t="shared" si="2"/>
        <v>createMovieClip</v>
      </c>
      <c r="K73" s="1" t="str">
        <f t="shared" si="3"/>
        <v>UltraTowerMenu_mc</v>
      </c>
      <c r="L73" s="1" t="str">
        <f t="shared" si="4"/>
        <v>UltraTowerMenu_mc</v>
      </c>
      <c r="M73" s="1"/>
      <c r="N73" s="1"/>
      <c r="O73" s="1"/>
      <c r="P73" s="14" t="str">
        <f t="shared" ca="1" si="5"/>
        <v/>
      </c>
      <c r="Q73" s="14" t="str">
        <f t="shared" ca="1" si="6"/>
        <v>UltraTowerMenu_mc::UltraTowerMenu_mc:MovieClip("tower","UltraTowerMenu_mc","UltraTowerMenu_mc"{)</v>
      </c>
    </row>
    <row r="74" spans="1:17" x14ac:dyDescent="0.25">
      <c r="A74" s="1"/>
      <c r="B74" s="3" t="s">
        <v>147</v>
      </c>
      <c r="C74" s="1">
        <f t="shared" ca="1" si="0"/>
        <v>1</v>
      </c>
      <c r="D74" s="1" t="s">
        <v>82</v>
      </c>
      <c r="E74" s="1" t="s">
        <v>134</v>
      </c>
      <c r="F74" s="1" t="s">
        <v>134</v>
      </c>
      <c r="G74" s="1" t="s">
        <v>594</v>
      </c>
      <c r="H74" s="1" t="str">
        <f t="shared" ca="1" si="1"/>
        <v>btnUpgradeMenu</v>
      </c>
      <c r="I74" s="1" t="str">
        <f ca="1">IF(C74&lt;2,"this",IF(C74=C73,I73,IF(C74&gt;C73,H73, LOOKUP(1,0/(H$2:H73=I73),I$2:I74))))</f>
        <v>this</v>
      </c>
      <c r="J74" s="1" t="str">
        <f t="shared" ref="J74:J137" si="64">CONCATENATE("create",IF(LEFT(G74,2)="MC",MID(G74,3,LEN(G74)),G74))</f>
        <v>createMovieClipSub</v>
      </c>
      <c r="K74" s="1" t="str">
        <f t="shared" si="3"/>
        <v>btnUpgradeMenu</v>
      </c>
      <c r="L74" s="1" t="str">
        <f t="shared" si="4"/>
        <v>btnUpgradeMenu</v>
      </c>
      <c r="M74" s="1"/>
      <c r="N74" s="1"/>
      <c r="O74" s="1"/>
      <c r="P74" s="14" t="str">
        <f t="shared" ref="P74:P137" ca="1" si="65">IF(C74&gt;0,G74 &amp; " * "&amp;H74 &amp;";","")</f>
        <v>MovieClipSub * btnUpgradeMenu;</v>
      </c>
      <c r="Q74" s="14" t="str">
        <f t="shared" ref="Q74:Q137" ca="1" si="66">IF(C74&gt;0,H74&amp;"= "&amp;I74&amp;"-&gt;"&amp;J74&amp;"("""&amp;K74&amp;""")"&amp;";",IF(RIGHT(B74,3)&lt;&gt;"_mc",G74&amp;"("""&amp;D74&amp;""","""&amp;B74&amp;""","""&amp;K74&amp;"""{)",B74&amp;"::"&amp;B74&amp;":"&amp;G74&amp;"("""&amp;D74&amp;""","""&amp;B74&amp;""","""&amp;K74&amp;"""{)"))</f>
        <v>btnUpgradeMenu= this-&gt;createMovieClipSub("btnUpgradeMenu");</v>
      </c>
    </row>
    <row r="75" spans="1:17" x14ac:dyDescent="0.25">
      <c r="A75" s="1"/>
      <c r="B75" s="4" t="s">
        <v>153</v>
      </c>
      <c r="C75" s="1">
        <f t="shared" ca="1" si="0"/>
        <v>2</v>
      </c>
      <c r="D75" s="1" t="s">
        <v>82</v>
      </c>
      <c r="E75" s="1" t="s">
        <v>134</v>
      </c>
      <c r="F75" s="1" t="s">
        <v>134</v>
      </c>
      <c r="G75" s="1" t="s">
        <v>682</v>
      </c>
      <c r="H75" s="1" t="str">
        <f t="shared" ca="1" si="1"/>
        <v>btnUpgradeMenuBtnUpgradeMenuCase</v>
      </c>
      <c r="I75" s="1" t="str">
        <f ca="1">IF(C75&lt;2,"this",IF(C75=C74,I74,IF(C75&gt;C74,H74, LOOKUP(1,0/(H$2:H74=I74),I$2:I75))))</f>
        <v>btnUpgradeMenu</v>
      </c>
      <c r="J75" s="1" t="str">
        <f t="shared" si="64"/>
        <v>createCase</v>
      </c>
      <c r="K75" s="1" t="str">
        <f t="shared" si="3"/>
        <v>btnUpgradeMenuCase</v>
      </c>
      <c r="L75" s="1" t="str">
        <f t="shared" si="4"/>
        <v>btnUpgradeMenuCase</v>
      </c>
      <c r="M75" s="1"/>
      <c r="N75" s="1"/>
      <c r="O75" s="1"/>
      <c r="P75" s="14" t="str">
        <f t="shared" ca="1" si="65"/>
        <v>MCCase * btnUpgradeMenuBtnUpgradeMenuCase;</v>
      </c>
      <c r="Q75" s="14" t="str">
        <f t="shared" ca="1" si="66"/>
        <v>btnUpgradeMenuBtnUpgradeMenuCase= btnUpgradeMenu-&gt;createCase("btnUpgradeMenuCase");</v>
      </c>
    </row>
    <row r="76" spans="1:17" x14ac:dyDescent="0.25">
      <c r="A76" s="1"/>
      <c r="B76" s="4" t="s">
        <v>154</v>
      </c>
      <c r="C76" s="1">
        <f t="shared" ca="1" si="0"/>
        <v>2</v>
      </c>
      <c r="D76" s="1" t="s">
        <v>82</v>
      </c>
      <c r="E76" s="1" t="s">
        <v>134</v>
      </c>
      <c r="F76" s="1" t="s">
        <v>134</v>
      </c>
      <c r="G76" s="1" t="s">
        <v>684</v>
      </c>
      <c r="H76" s="1" t="str">
        <f t="shared" ca="1" si="1"/>
        <v>btnUpgradeMenuCostTXT</v>
      </c>
      <c r="I76" s="1" t="str">
        <f ca="1">IF(C76&lt;2,"this",IF(C76=C75,I75,IF(C76&gt;C75,H75, LOOKUP(1,0/(H$2:H75=I75),I$2:I76))))</f>
        <v>btnUpgradeMenu</v>
      </c>
      <c r="J76" s="1" t="str">
        <f t="shared" si="64"/>
        <v>createText</v>
      </c>
      <c r="K76" s="1" t="str">
        <f t="shared" si="3"/>
        <v>costTXT</v>
      </c>
      <c r="L76" s="1" t="str">
        <f t="shared" si="4"/>
        <v>costTXT</v>
      </c>
      <c r="M76" s="1"/>
      <c r="N76" s="1"/>
      <c r="O76" s="1"/>
      <c r="P76" s="14" t="str">
        <f t="shared" ca="1" si="65"/>
        <v>MCText * btnUpgradeMenuCostTXT;</v>
      </c>
      <c r="Q76" s="14" t="str">
        <f t="shared" ca="1" si="66"/>
        <v>btnUpgradeMenuCostTXT= btnUpgradeMenu-&gt;createText("costTXT");</v>
      </c>
    </row>
    <row r="77" spans="1:17" x14ac:dyDescent="0.25">
      <c r="A77" s="1"/>
      <c r="B77" s="3" t="s">
        <v>112</v>
      </c>
      <c r="C77" s="1">
        <f t="shared" ca="1" si="0"/>
        <v>1</v>
      </c>
      <c r="D77" s="1" t="s">
        <v>82</v>
      </c>
      <c r="E77" s="1" t="s">
        <v>134</v>
      </c>
      <c r="F77" s="1" t="s">
        <v>134</v>
      </c>
      <c r="G77" s="1" t="s">
        <v>594</v>
      </c>
      <c r="H77" s="1" t="str">
        <f t="shared" ca="1" si="1"/>
        <v>cont1</v>
      </c>
      <c r="I77" s="1" t="str">
        <f ca="1">IF(C77&lt;2,"this",IF(C77=C76,I76,IF(C77&gt;C76,H76, LOOKUP(1,0/(H$2:H76=I76),I$2:I77))))</f>
        <v>this</v>
      </c>
      <c r="J77" s="1" t="str">
        <f t="shared" si="64"/>
        <v>createMovieClipSub</v>
      </c>
      <c r="K77" s="1" t="str">
        <f t="shared" si="3"/>
        <v>cont1</v>
      </c>
      <c r="L77" s="1" t="str">
        <f t="shared" si="4"/>
        <v>cont1</v>
      </c>
      <c r="M77" s="1"/>
      <c r="N77" s="1"/>
      <c r="O77" s="1"/>
      <c r="P77" s="14" t="str">
        <f t="shared" ca="1" si="65"/>
        <v>MovieClipSub * cont1;</v>
      </c>
      <c r="Q77" s="14" t="str">
        <f t="shared" ca="1" si="66"/>
        <v>cont1= this-&gt;createMovieClipSub("cont1");</v>
      </c>
    </row>
    <row r="78" spans="1:17" x14ac:dyDescent="0.25">
      <c r="A78" s="1"/>
      <c r="B78" s="3" t="s">
        <v>148</v>
      </c>
      <c r="C78" s="1">
        <f t="shared" ca="1" si="0"/>
        <v>1</v>
      </c>
      <c r="D78" s="1" t="s">
        <v>82</v>
      </c>
      <c r="E78" s="1" t="s">
        <v>134</v>
      </c>
      <c r="F78" s="1" t="s">
        <v>134</v>
      </c>
      <c r="G78" s="1" t="s">
        <v>594</v>
      </c>
      <c r="H78" s="1" t="str">
        <f t="shared" ca="1" si="1"/>
        <v>fastBuyUltraCont</v>
      </c>
      <c r="I78" s="1" t="str">
        <f ca="1">IF(C78&lt;2,"this",IF(C78=C77,I77,IF(C78&gt;C77,H77, LOOKUP(1,0/(H$2:H77=I77),I$2:I78))))</f>
        <v>this</v>
      </c>
      <c r="J78" s="1" t="str">
        <f t="shared" si="64"/>
        <v>createMovieClipSub</v>
      </c>
      <c r="K78" s="1" t="str">
        <f t="shared" si="3"/>
        <v>fastBuyUltraCont</v>
      </c>
      <c r="L78" s="1" t="str">
        <f t="shared" si="4"/>
        <v>fastBuyUltraCont</v>
      </c>
      <c r="M78" s="1"/>
      <c r="N78" s="1"/>
      <c r="O78" s="1"/>
      <c r="P78" s="14" t="str">
        <f t="shared" ca="1" si="65"/>
        <v>MovieClipSub * fastBuyUltraCont;</v>
      </c>
      <c r="Q78" s="14" t="str">
        <f t="shared" ca="1" si="66"/>
        <v>fastBuyUltraCont= this-&gt;createMovieClipSub("fastBuyUltraCont");</v>
      </c>
    </row>
    <row r="79" spans="1:17" x14ac:dyDescent="0.25">
      <c r="A79" s="1"/>
      <c r="B79" s="4" t="s">
        <v>121</v>
      </c>
      <c r="C79" s="1">
        <f t="shared" ca="1" si="0"/>
        <v>2</v>
      </c>
      <c r="D79" s="1" t="s">
        <v>82</v>
      </c>
      <c r="E79" s="1" t="s">
        <v>134</v>
      </c>
      <c r="F79" s="1" t="s">
        <v>134</v>
      </c>
      <c r="G79" s="1" t="s">
        <v>594</v>
      </c>
      <c r="H79" s="1" t="str">
        <f t="shared" ca="1" si="1"/>
        <v>fastBuyUltraContBtnFastBuyUltra</v>
      </c>
      <c r="I79" s="1" t="str">
        <f ca="1">IF(C79&lt;2,"this",IF(C79=C78,I78,IF(C79&gt;C78,H78, LOOKUP(1,0/(H$2:H78=I78),I$2:I79))))</f>
        <v>fastBuyUltraCont</v>
      </c>
      <c r="J79" s="1" t="str">
        <f t="shared" si="64"/>
        <v>createMovieClipSub</v>
      </c>
      <c r="K79" s="1" t="str">
        <f t="shared" si="3"/>
        <v>btnFastBuyUltra</v>
      </c>
      <c r="L79" s="1" t="str">
        <f t="shared" si="4"/>
        <v>btnFastBuyUltra</v>
      </c>
      <c r="M79" s="1"/>
      <c r="N79" s="1"/>
      <c r="O79" s="1"/>
      <c r="P79" s="14" t="str">
        <f t="shared" ca="1" si="65"/>
        <v>MovieClipSub * fastBuyUltraContBtnFastBuyUltra;</v>
      </c>
      <c r="Q79" s="14" t="str">
        <f t="shared" ca="1" si="66"/>
        <v>fastBuyUltraContBtnFastBuyUltra= fastBuyUltraCont-&gt;createMovieClipSub("btnFastBuyUltra");</v>
      </c>
    </row>
    <row r="80" spans="1:17" x14ac:dyDescent="0.25">
      <c r="A80" s="1"/>
      <c r="B80" s="5" t="s">
        <v>122</v>
      </c>
      <c r="C80" s="1">
        <f t="shared" ca="1" si="0"/>
        <v>3</v>
      </c>
      <c r="D80" s="1" t="s">
        <v>82</v>
      </c>
      <c r="E80" s="1" t="s">
        <v>134</v>
      </c>
      <c r="F80" s="1" t="s">
        <v>134</v>
      </c>
      <c r="G80" s="1" t="s">
        <v>682</v>
      </c>
      <c r="H80" s="1" t="str">
        <f t="shared" ca="1" si="1"/>
        <v>fastBuyUltraContBtnFastBuyUltraFastBuyUltraCase</v>
      </c>
      <c r="I80" s="1" t="str">
        <f ca="1">IF(C80&lt;2,"this",IF(C80=C79,I79,IF(C80&gt;C79,H79, LOOKUP(1,0/(H$2:H79=I79),I$2:I80))))</f>
        <v>fastBuyUltraContBtnFastBuyUltra</v>
      </c>
      <c r="J80" s="1" t="str">
        <f t="shared" si="64"/>
        <v>createCase</v>
      </c>
      <c r="K80" s="1" t="str">
        <f t="shared" si="3"/>
        <v>fastBuyUltraCase</v>
      </c>
      <c r="L80" s="1" t="str">
        <f t="shared" si="4"/>
        <v>fastBuyUltraCase</v>
      </c>
      <c r="M80" s="1"/>
      <c r="N80" s="1"/>
      <c r="O80" s="1"/>
      <c r="P80" s="14" t="str">
        <f t="shared" ca="1" si="65"/>
        <v>MCCase * fastBuyUltraContBtnFastBuyUltraFastBuyUltraCase;</v>
      </c>
      <c r="Q80" s="14" t="str">
        <f t="shared" ca="1" si="66"/>
        <v>fastBuyUltraContBtnFastBuyUltraFastBuyUltraCase= fastBuyUltraContBtnFastBuyUltra-&gt;createCase("fastBuyUltraCase");</v>
      </c>
    </row>
    <row r="81" spans="1:17" x14ac:dyDescent="0.25">
      <c r="A81" s="1"/>
      <c r="B81" s="5" t="s">
        <v>155</v>
      </c>
      <c r="C81" s="1">
        <f t="shared" ca="1" si="0"/>
        <v>3</v>
      </c>
      <c r="D81" s="1" t="s">
        <v>82</v>
      </c>
      <c r="E81" s="1" t="s">
        <v>134</v>
      </c>
      <c r="F81" s="1" t="s">
        <v>134</v>
      </c>
      <c r="G81" s="1" t="s">
        <v>594</v>
      </c>
      <c r="H81" s="1" t="str">
        <f t="shared" ca="1" si="1"/>
        <v>fastBuyUltraContBtnFastBuyUltraIndicator1</v>
      </c>
      <c r="I81" s="1" t="str">
        <f ca="1">IF(C81&lt;2,"this",IF(C81=C80,I80,IF(C81&gt;C80,H80, LOOKUP(1,0/(H$2:H80=I80),I$2:I81))))</f>
        <v>fastBuyUltraContBtnFastBuyUltra</v>
      </c>
      <c r="J81" s="1" t="str">
        <f t="shared" si="64"/>
        <v>createMovieClipSub</v>
      </c>
      <c r="K81" s="1" t="str">
        <f t="shared" si="3"/>
        <v>indicator1</v>
      </c>
      <c r="L81" s="1" t="str">
        <f t="shared" si="4"/>
        <v>indicator1</v>
      </c>
      <c r="M81" s="1"/>
      <c r="N81" s="1"/>
      <c r="O81" s="1"/>
      <c r="P81" s="14" t="str">
        <f t="shared" ca="1" si="65"/>
        <v>MovieClipSub * fastBuyUltraContBtnFastBuyUltraIndicator1;</v>
      </c>
      <c r="Q81" s="14" t="str">
        <f t="shared" ca="1" si="66"/>
        <v>fastBuyUltraContBtnFastBuyUltraIndicator1= fastBuyUltraContBtnFastBuyUltra-&gt;createMovieClipSub("indicator1");</v>
      </c>
    </row>
    <row r="82" spans="1:17" x14ac:dyDescent="0.25">
      <c r="A82" s="1"/>
      <c r="B82" s="5" t="s">
        <v>156</v>
      </c>
      <c r="C82" s="1">
        <f t="shared" ca="1" si="0"/>
        <v>3</v>
      </c>
      <c r="D82" s="1" t="s">
        <v>82</v>
      </c>
      <c r="E82" s="1" t="s">
        <v>134</v>
      </c>
      <c r="F82" s="1" t="s">
        <v>134</v>
      </c>
      <c r="G82" s="1" t="s">
        <v>594</v>
      </c>
      <c r="H82" s="1" t="str">
        <f t="shared" ca="1" si="1"/>
        <v>fastBuyUltraContBtnFastBuyUltraIndicator2</v>
      </c>
      <c r="I82" s="1" t="str">
        <f ca="1">IF(C82&lt;2,"this",IF(C82=C81,I81,IF(C82&gt;C81,H81, LOOKUP(1,0/(H$2:H81=I81),I$2:I82))))</f>
        <v>fastBuyUltraContBtnFastBuyUltra</v>
      </c>
      <c r="J82" s="1" t="str">
        <f t="shared" si="64"/>
        <v>createMovieClipSub</v>
      </c>
      <c r="K82" s="1" t="str">
        <f t="shared" si="3"/>
        <v>indicator2</v>
      </c>
      <c r="L82" s="1" t="str">
        <f t="shared" si="4"/>
        <v>indicator2</v>
      </c>
      <c r="M82" s="1"/>
      <c r="N82" s="1"/>
      <c r="O82" s="1"/>
      <c r="P82" s="14" t="str">
        <f t="shared" ca="1" si="65"/>
        <v>MovieClipSub * fastBuyUltraContBtnFastBuyUltraIndicator2;</v>
      </c>
      <c r="Q82" s="14" t="str">
        <f t="shared" ca="1" si="66"/>
        <v>fastBuyUltraContBtnFastBuyUltraIndicator2= fastBuyUltraContBtnFastBuyUltra-&gt;createMovieClipSub("indicator2");</v>
      </c>
    </row>
    <row r="83" spans="1:17" x14ac:dyDescent="0.25">
      <c r="A83" s="1"/>
      <c r="B83" s="5" t="s">
        <v>157</v>
      </c>
      <c r="C83" s="1">
        <f t="shared" ca="1" si="0"/>
        <v>3</v>
      </c>
      <c r="D83" s="1" t="s">
        <v>82</v>
      </c>
      <c r="E83" s="1" t="s">
        <v>134</v>
      </c>
      <c r="F83" s="1" t="s">
        <v>134</v>
      </c>
      <c r="G83" s="1" t="s">
        <v>594</v>
      </c>
      <c r="H83" s="1" t="str">
        <f t="shared" ca="1" si="1"/>
        <v>fastBuyUltraContBtnFastBuyUltraIndicator3</v>
      </c>
      <c r="I83" s="1" t="str">
        <f ca="1">IF(C83&lt;2,"this",IF(C83=C82,I82,IF(C83&gt;C82,H82, LOOKUP(1,0/(H$2:H82=I82),I$2:I83))))</f>
        <v>fastBuyUltraContBtnFastBuyUltra</v>
      </c>
      <c r="J83" s="1" t="str">
        <f t="shared" si="64"/>
        <v>createMovieClipSub</v>
      </c>
      <c r="K83" s="1" t="str">
        <f t="shared" si="3"/>
        <v>indicator3</v>
      </c>
      <c r="L83" s="1" t="str">
        <f t="shared" si="4"/>
        <v>indicator3</v>
      </c>
      <c r="M83" s="1"/>
      <c r="N83" s="1"/>
      <c r="O83" s="1"/>
      <c r="P83" s="14" t="str">
        <f t="shared" ca="1" si="65"/>
        <v>MovieClipSub * fastBuyUltraContBtnFastBuyUltraIndicator3;</v>
      </c>
      <c r="Q83" s="14" t="str">
        <f t="shared" ca="1" si="66"/>
        <v>fastBuyUltraContBtnFastBuyUltraIndicator3= fastBuyUltraContBtnFastBuyUltra-&gt;createMovieClipSub("indicator3");</v>
      </c>
    </row>
    <row r="84" spans="1:17" x14ac:dyDescent="0.25">
      <c r="A84" s="1"/>
      <c r="B84" s="5" t="s">
        <v>158</v>
      </c>
      <c r="C84" s="1">
        <f t="shared" ca="1" si="0"/>
        <v>3</v>
      </c>
      <c r="D84" s="1" t="s">
        <v>82</v>
      </c>
      <c r="E84" s="1" t="s">
        <v>134</v>
      </c>
      <c r="F84" s="1" t="s">
        <v>134</v>
      </c>
      <c r="G84" s="1" t="s">
        <v>594</v>
      </c>
      <c r="H84" s="1" t="str">
        <f t="shared" ca="1" si="1"/>
        <v>fastBuyUltraContBtnFastBuyUltraIndicator4</v>
      </c>
      <c r="I84" s="1" t="str">
        <f ca="1">IF(C84&lt;2,"this",IF(C84=C83,I83,IF(C84&gt;C83,H83, LOOKUP(1,0/(H$2:H83=I83),I$2:I84))))</f>
        <v>fastBuyUltraContBtnFastBuyUltra</v>
      </c>
      <c r="J84" s="1" t="str">
        <f t="shared" si="64"/>
        <v>createMovieClipSub</v>
      </c>
      <c r="K84" s="1" t="str">
        <f t="shared" si="3"/>
        <v>indicator4</v>
      </c>
      <c r="L84" s="1" t="str">
        <f t="shared" si="4"/>
        <v>indicator4</v>
      </c>
      <c r="M84" s="1"/>
      <c r="N84" s="1"/>
      <c r="O84" s="1"/>
      <c r="P84" s="14" t="str">
        <f t="shared" ca="1" si="65"/>
        <v>MovieClipSub * fastBuyUltraContBtnFastBuyUltraIndicator4;</v>
      </c>
      <c r="Q84" s="14" t="str">
        <f t="shared" ca="1" si="66"/>
        <v>fastBuyUltraContBtnFastBuyUltraIndicator4= fastBuyUltraContBtnFastBuyUltra-&gt;createMovieClipSub("indicator4");</v>
      </c>
    </row>
    <row r="85" spans="1:17" x14ac:dyDescent="0.25">
      <c r="A85" s="49"/>
      <c r="B85" s="5" t="s">
        <v>107</v>
      </c>
      <c r="C85" s="1">
        <f t="shared" ca="1" si="0"/>
        <v>3</v>
      </c>
      <c r="D85" s="1" t="s">
        <v>82</v>
      </c>
      <c r="E85" s="1" t="s">
        <v>134</v>
      </c>
      <c r="F85" s="1" t="s">
        <v>134</v>
      </c>
      <c r="G85" s="1" t="s">
        <v>684</v>
      </c>
      <c r="H85" s="1" t="str">
        <f t="shared" ca="1" si="1"/>
        <v>fastBuyUltraContBtnFastBuyUltraCostTXT</v>
      </c>
      <c r="I85" s="1" t="str">
        <f ca="1">IF(C85&lt;2,"this",IF(C85=C84,I84,IF(C85&gt;C84,H84, LOOKUP(1,0/(H$2:H84=I84),I$2:I85))))</f>
        <v>fastBuyUltraContBtnFastBuyUltra</v>
      </c>
      <c r="J85" s="1" t="str">
        <f t="shared" si="64"/>
        <v>createText</v>
      </c>
      <c r="K85" s="1" t="str">
        <f t="shared" si="3"/>
        <v>costTXT</v>
      </c>
      <c r="L85" s="1" t="str">
        <f t="shared" si="4"/>
        <v>costTXT</v>
      </c>
      <c r="M85" s="1"/>
      <c r="N85" s="1"/>
      <c r="O85" s="1"/>
      <c r="P85" s="14" t="str">
        <f t="shared" ca="1" si="65"/>
        <v>MCText * fastBuyUltraContBtnFastBuyUltraCostTXT;</v>
      </c>
      <c r="Q85" s="14" t="str">
        <f t="shared" ca="1" si="66"/>
        <v>fastBuyUltraContBtnFastBuyUltraCostTXT= fastBuyUltraContBtnFastBuyUltra-&gt;createText("costTXT");</v>
      </c>
    </row>
    <row r="86" spans="1:17" x14ac:dyDescent="0.25">
      <c r="A86" s="1"/>
      <c r="B86" s="3" t="s">
        <v>149</v>
      </c>
      <c r="C86" s="1">
        <f t="shared" ref="C86:C149" ca="1" si="67">indent(B86)</f>
        <v>1</v>
      </c>
      <c r="D86" s="1" t="s">
        <v>82</v>
      </c>
      <c r="E86" s="1" t="s">
        <v>134</v>
      </c>
      <c r="F86" s="1" t="s">
        <v>134</v>
      </c>
      <c r="G86" s="1" t="s">
        <v>594</v>
      </c>
      <c r="H86" s="1" t="str">
        <f t="shared" ca="1" si="1"/>
        <v>sellUltraTower</v>
      </c>
      <c r="I86" s="1" t="str">
        <f ca="1">IF(C86&lt;2,"this",IF(C86=C85,I85,IF(C86&gt;C85,H85, LOOKUP(1,0/(H$2:H85=I85),I$2:I86))))</f>
        <v>this</v>
      </c>
      <c r="J86" s="1" t="str">
        <f t="shared" si="64"/>
        <v>createMovieClipSub</v>
      </c>
      <c r="K86" s="1" t="str">
        <f t="shared" si="3"/>
        <v>sellUltraTower</v>
      </c>
      <c r="L86" s="1" t="str">
        <f t="shared" si="4"/>
        <v>sellUltraTower</v>
      </c>
      <c r="M86" s="1"/>
      <c r="N86" s="1"/>
      <c r="O86" s="1"/>
      <c r="P86" s="14" t="str">
        <f t="shared" ca="1" si="65"/>
        <v>MovieClipSub * sellUltraTower;</v>
      </c>
      <c r="Q86" s="14" t="str">
        <f t="shared" ca="1" si="66"/>
        <v>sellUltraTower= this-&gt;createMovieClipSub("sellUltraTower");</v>
      </c>
    </row>
    <row r="87" spans="1:17" x14ac:dyDescent="0.25">
      <c r="A87" s="1"/>
      <c r="B87" s="4" t="s">
        <v>159</v>
      </c>
      <c r="C87" s="1">
        <f t="shared" ca="1" si="67"/>
        <v>2</v>
      </c>
      <c r="D87" s="1" t="s">
        <v>82</v>
      </c>
      <c r="E87" s="38" t="s">
        <v>134</v>
      </c>
      <c r="F87" s="1" t="s">
        <v>134</v>
      </c>
      <c r="G87" s="1" t="s">
        <v>682</v>
      </c>
      <c r="H87" s="1" t="str">
        <f t="shared" ref="H87:H150" ca="1" si="68">IF(OR(I87="this",LEN(I87)&lt;2),B87,CONCATENATE(I87, UPPER(LEFT(B87,1)) &amp; RIGHT(B87,LEN(B87)-1) ))</f>
        <v>sellUltraTowerSellUltraTowerCase</v>
      </c>
      <c r="I87" s="1" t="str">
        <f ca="1">IF(C87&lt;2,"this",IF(C87=C86,I86,IF(C87&gt;C86,H86, LOOKUP(1,0/(H$2:H86=I86),I$2:I87))))</f>
        <v>sellUltraTower</v>
      </c>
      <c r="J87" s="1" t="str">
        <f t="shared" si="64"/>
        <v>createCase</v>
      </c>
      <c r="K87" s="1" t="str">
        <f t="shared" ref="K87:K150" si="69">B87</f>
        <v>sellUltraTowerCase</v>
      </c>
      <c r="L87" s="1" t="str">
        <f t="shared" ref="L87:L150" si="70">B87</f>
        <v>sellUltraTowerCase</v>
      </c>
      <c r="M87" s="1"/>
      <c r="N87" s="1"/>
      <c r="O87" s="1"/>
      <c r="P87" s="14" t="str">
        <f t="shared" ca="1" si="65"/>
        <v>MCCase * sellUltraTowerSellUltraTowerCase;</v>
      </c>
      <c r="Q87" s="14" t="str">
        <f t="shared" ca="1" si="66"/>
        <v>sellUltraTowerSellUltraTowerCase= sellUltraTower-&gt;createCase("sellUltraTowerCase");</v>
      </c>
    </row>
    <row r="88" spans="1:17" x14ac:dyDescent="0.25">
      <c r="A88" s="1"/>
      <c r="B88" s="3" t="s">
        <v>150</v>
      </c>
      <c r="C88" s="1">
        <f t="shared" ca="1" si="67"/>
        <v>1</v>
      </c>
      <c r="D88" s="1" t="s">
        <v>82</v>
      </c>
      <c r="E88" s="38" t="s">
        <v>134</v>
      </c>
      <c r="F88" s="1" t="s">
        <v>134</v>
      </c>
      <c r="G88" s="1" t="s">
        <v>594</v>
      </c>
      <c r="H88" s="1" t="str">
        <f t="shared" ca="1" si="68"/>
        <v>sphereSlot1</v>
      </c>
      <c r="I88" s="1" t="str">
        <f ca="1">IF(C88&lt;2,"this",IF(C88=C87,I87,IF(C88&gt;C87,H87, LOOKUP(1,0/(H$2:H87=I87),I$2:I88))))</f>
        <v>this</v>
      </c>
      <c r="J88" s="1" t="str">
        <f t="shared" si="64"/>
        <v>createMovieClipSub</v>
      </c>
      <c r="K88" s="1" t="str">
        <f t="shared" si="69"/>
        <v>sphereSlot1</v>
      </c>
      <c r="L88" s="1" t="str">
        <f t="shared" si="70"/>
        <v>sphereSlot1</v>
      </c>
      <c r="M88" s="1"/>
      <c r="N88" s="1"/>
      <c r="O88" s="1"/>
      <c r="P88" s="14" t="str">
        <f t="shared" ca="1" si="65"/>
        <v>MovieClipSub * sphereSlot1;</v>
      </c>
      <c r="Q88" s="14" t="str">
        <f t="shared" ca="1" si="66"/>
        <v>sphereSlot1= this-&gt;createMovieClipSub("sphereSlot1");</v>
      </c>
    </row>
    <row r="89" spans="1:17" x14ac:dyDescent="0.25">
      <c r="A89" s="1"/>
      <c r="B89" s="4" t="s">
        <v>152</v>
      </c>
      <c r="C89" s="1">
        <f t="shared" ca="1" si="67"/>
        <v>2</v>
      </c>
      <c r="D89" s="1" t="s">
        <v>82</v>
      </c>
      <c r="E89" s="38" t="s">
        <v>134</v>
      </c>
      <c r="F89" s="1" t="s">
        <v>134</v>
      </c>
      <c r="G89" s="1" t="s">
        <v>594</v>
      </c>
      <c r="H89" s="1" t="str">
        <f t="shared" ca="1" si="68"/>
        <v>sphereSlot1SphereAnima</v>
      </c>
      <c r="I89" s="1" t="str">
        <f ca="1">IF(C89&lt;2,"this",IF(C89=C88,I88,IF(C89&gt;C88,H88, LOOKUP(1,0/(H$2:H88=I88),I$2:I89))))</f>
        <v>sphereSlot1</v>
      </c>
      <c r="J89" s="1" t="str">
        <f t="shared" si="64"/>
        <v>createMovieClipSub</v>
      </c>
      <c r="K89" s="1" t="str">
        <f t="shared" si="69"/>
        <v>sphereAnima</v>
      </c>
      <c r="L89" s="1" t="str">
        <f t="shared" si="70"/>
        <v>sphereAnima</v>
      </c>
      <c r="M89" s="1"/>
      <c r="N89" s="1"/>
      <c r="O89" s="1"/>
      <c r="P89" s="14" t="str">
        <f t="shared" ca="1" si="65"/>
        <v>MovieClipSub * sphereSlot1SphereAnima;</v>
      </c>
      <c r="Q89" s="14" t="str">
        <f t="shared" ca="1" si="66"/>
        <v>sphereSlot1SphereAnima= sphereSlot1-&gt;createMovieClipSub("sphereAnima");</v>
      </c>
    </row>
    <row r="90" spans="1:17" x14ac:dyDescent="0.25">
      <c r="A90" s="61" t="s">
        <v>729</v>
      </c>
      <c r="B90" s="5" t="s">
        <v>116</v>
      </c>
      <c r="C90" s="1">
        <f t="shared" ca="1" si="67"/>
        <v>3</v>
      </c>
      <c r="D90" s="1" t="s">
        <v>82</v>
      </c>
      <c r="E90" s="38" t="s">
        <v>134</v>
      </c>
      <c r="F90" s="1" t="s">
        <v>134</v>
      </c>
      <c r="G90" s="1" t="s">
        <v>594</v>
      </c>
      <c r="H90" s="1" t="str">
        <f t="shared" ca="1" si="68"/>
        <v>sphereSlot1SphereAnimaFire</v>
      </c>
      <c r="I90" s="1" t="str">
        <f ca="1">IF(C90&lt;2,"this",IF(C90=C89,I89,IF(C90&gt;C89,H89, LOOKUP(1,0/(H$2:H89=I89),I$2:I90))))</f>
        <v>sphereSlot1SphereAnima</v>
      </c>
      <c r="J90" s="1" t="str">
        <f t="shared" si="64"/>
        <v>createMovieClipSub</v>
      </c>
      <c r="K90" s="1" t="str">
        <f t="shared" si="69"/>
        <v>fire</v>
      </c>
      <c r="L90" s="1" t="str">
        <f t="shared" si="70"/>
        <v>fire</v>
      </c>
      <c r="M90" s="1"/>
      <c r="N90" s="1"/>
      <c r="O90" s="1"/>
      <c r="P90" s="14" t="str">
        <f t="shared" ca="1" si="65"/>
        <v>MovieClipSub * sphereSlot1SphereAnimaFire;</v>
      </c>
      <c r="Q90" s="14" t="str">
        <f t="shared" ca="1" si="66"/>
        <v>sphereSlot1SphereAnimaFire= sphereSlot1SphereAnima-&gt;createMovieClipSub("fire");</v>
      </c>
    </row>
    <row r="91" spans="1:17" x14ac:dyDescent="0.25">
      <c r="A91" s="62"/>
      <c r="B91" s="5" t="s">
        <v>117</v>
      </c>
      <c r="C91" s="1">
        <f t="shared" ca="1" si="67"/>
        <v>3</v>
      </c>
      <c r="D91" s="1" t="s">
        <v>82</v>
      </c>
      <c r="E91" s="38" t="s">
        <v>134</v>
      </c>
      <c r="F91" s="1" t="s">
        <v>134</v>
      </c>
      <c r="G91" s="1" t="s">
        <v>594</v>
      </c>
      <c r="H91" s="1" t="str">
        <f t="shared" ca="1" si="68"/>
        <v>sphereSlot1SphereAnimaIce</v>
      </c>
      <c r="I91" s="1" t="str">
        <f ca="1">IF(C91&lt;2,"this",IF(C91=C90,I90,IF(C91&gt;C90,H90, LOOKUP(1,0/(H$2:H90=I90),I$2:I91))))</f>
        <v>sphereSlot1SphereAnima</v>
      </c>
      <c r="J91" s="1" t="str">
        <f t="shared" si="64"/>
        <v>createMovieClipSub</v>
      </c>
      <c r="K91" s="1" t="str">
        <f t="shared" si="69"/>
        <v>ice</v>
      </c>
      <c r="L91" s="1" t="str">
        <f t="shared" si="70"/>
        <v>ice</v>
      </c>
      <c r="M91" s="1"/>
      <c r="N91" s="1"/>
      <c r="O91" s="1"/>
      <c r="P91" s="14" t="str">
        <f t="shared" ca="1" si="65"/>
        <v>MovieClipSub * sphereSlot1SphereAnimaIce;</v>
      </c>
      <c r="Q91" s="14" t="str">
        <f t="shared" ca="1" si="66"/>
        <v>sphereSlot1SphereAnimaIce= sphereSlot1SphereAnima-&gt;createMovieClipSub("ice");</v>
      </c>
    </row>
    <row r="92" spans="1:17" x14ac:dyDescent="0.25">
      <c r="A92" s="62"/>
      <c r="B92" s="5" t="s">
        <v>118</v>
      </c>
      <c r="C92" s="1">
        <f t="shared" ca="1" si="67"/>
        <v>3</v>
      </c>
      <c r="D92" s="1" t="s">
        <v>82</v>
      </c>
      <c r="E92" s="38" t="s">
        <v>134</v>
      </c>
      <c r="F92" s="1" t="s">
        <v>134</v>
      </c>
      <c r="G92" s="1" t="s">
        <v>594</v>
      </c>
      <c r="H92" s="1" t="str">
        <f t="shared" ca="1" si="68"/>
        <v>sphereSlot1SphereAnimaStone</v>
      </c>
      <c r="I92" s="1" t="str">
        <f ca="1">IF(C92&lt;2,"this",IF(C92=C91,I91,IF(C92&gt;C91,H91, LOOKUP(1,0/(H$2:H91=I91),I$2:I92))))</f>
        <v>sphereSlot1SphereAnima</v>
      </c>
      <c r="J92" s="1" t="str">
        <f t="shared" si="64"/>
        <v>createMovieClipSub</v>
      </c>
      <c r="K92" s="1" t="str">
        <f t="shared" si="69"/>
        <v>stone</v>
      </c>
      <c r="L92" s="1" t="str">
        <f t="shared" si="70"/>
        <v>stone</v>
      </c>
      <c r="M92" s="1"/>
      <c r="N92" s="1"/>
      <c r="O92" s="1"/>
      <c r="P92" s="14" t="str">
        <f t="shared" ca="1" si="65"/>
        <v>MovieClipSub * sphereSlot1SphereAnimaStone;</v>
      </c>
      <c r="Q92" s="14" t="str">
        <f t="shared" ca="1" si="66"/>
        <v>sphereSlot1SphereAnimaStone= sphereSlot1SphereAnima-&gt;createMovieClipSub("stone");</v>
      </c>
    </row>
    <row r="93" spans="1:17" x14ac:dyDescent="0.25">
      <c r="A93" s="63"/>
      <c r="B93" s="5" t="s">
        <v>119</v>
      </c>
      <c r="C93" s="1">
        <f t="shared" ca="1" si="67"/>
        <v>3</v>
      </c>
      <c r="D93" s="1" t="s">
        <v>82</v>
      </c>
      <c r="E93" s="38" t="s">
        <v>134</v>
      </c>
      <c r="F93" s="1" t="s">
        <v>134</v>
      </c>
      <c r="G93" s="1" t="s">
        <v>594</v>
      </c>
      <c r="H93" s="1" t="str">
        <f t="shared" ca="1" si="68"/>
        <v>sphereSlot1SphereAnimaLevin</v>
      </c>
      <c r="I93" s="1" t="str">
        <f ca="1">IF(C93&lt;2,"this",IF(C93=C92,I92,IF(C93&gt;C92,H92, LOOKUP(1,0/(H$2:H92=I92),I$2:I93))))</f>
        <v>sphereSlot1SphereAnima</v>
      </c>
      <c r="J93" s="1" t="str">
        <f t="shared" si="64"/>
        <v>createMovieClipSub</v>
      </c>
      <c r="K93" s="1" t="str">
        <f t="shared" si="69"/>
        <v>levin</v>
      </c>
      <c r="L93" s="1" t="str">
        <f t="shared" si="70"/>
        <v>levin</v>
      </c>
      <c r="M93" s="1"/>
      <c r="N93" s="1"/>
      <c r="O93" s="1"/>
      <c r="P93" s="14" t="str">
        <f t="shared" ca="1" si="65"/>
        <v>MovieClipSub * sphereSlot1SphereAnimaLevin;</v>
      </c>
      <c r="Q93" s="14" t="str">
        <f t="shared" ca="1" si="66"/>
        <v>sphereSlot1SphereAnimaLevin= sphereSlot1SphereAnima-&gt;createMovieClipSub("levin");</v>
      </c>
    </row>
    <row r="94" spans="1:17" x14ac:dyDescent="0.25">
      <c r="A94" s="1"/>
      <c r="B94" s="3" t="s">
        <v>151</v>
      </c>
      <c r="C94" s="1">
        <f t="shared" ca="1" si="67"/>
        <v>1</v>
      </c>
      <c r="D94" s="1" t="s">
        <v>82</v>
      </c>
      <c r="E94" s="38" t="s">
        <v>134</v>
      </c>
      <c r="F94" s="1" t="s">
        <v>134</v>
      </c>
      <c r="G94" s="1" t="s">
        <v>594</v>
      </c>
      <c r="H94" s="1" t="str">
        <f t="shared" ca="1" si="68"/>
        <v>sphereSlot2</v>
      </c>
      <c r="I94" s="1" t="str">
        <f ca="1">IF(C94&lt;2,"this",IF(C94=C93,I93,IF(C94&gt;C93,H93, LOOKUP(1,0/(H$2:H93=I93),I$2:I94))))</f>
        <v>this</v>
      </c>
      <c r="J94" s="1" t="str">
        <f t="shared" si="64"/>
        <v>createMovieClipSub</v>
      </c>
      <c r="K94" s="1" t="str">
        <f t="shared" si="69"/>
        <v>sphereSlot2</v>
      </c>
      <c r="L94" s="1" t="str">
        <f t="shared" si="70"/>
        <v>sphereSlot2</v>
      </c>
      <c r="M94" s="1"/>
      <c r="N94" s="1"/>
      <c r="O94" s="1"/>
      <c r="P94" s="14" t="str">
        <f t="shared" ca="1" si="65"/>
        <v>MovieClipSub * sphereSlot2;</v>
      </c>
      <c r="Q94" s="14" t="str">
        <f t="shared" ca="1" si="66"/>
        <v>sphereSlot2= this-&gt;createMovieClipSub("sphereSlot2");</v>
      </c>
    </row>
    <row r="95" spans="1:17" x14ac:dyDescent="0.25">
      <c r="A95" s="1"/>
      <c r="B95" s="4" t="s">
        <v>152</v>
      </c>
      <c r="C95" s="1">
        <f t="shared" ca="1" si="67"/>
        <v>2</v>
      </c>
      <c r="D95" s="1" t="s">
        <v>82</v>
      </c>
      <c r="E95" s="38" t="s">
        <v>134</v>
      </c>
      <c r="F95" s="1" t="s">
        <v>134</v>
      </c>
      <c r="G95" s="1" t="s">
        <v>594</v>
      </c>
      <c r="H95" s="1" t="str">
        <f t="shared" ca="1" si="68"/>
        <v>sphereSlot2SphereAnima</v>
      </c>
      <c r="I95" s="1" t="str">
        <f ca="1">IF(C95&lt;2,"this",IF(C95=C94,I94,IF(C95&gt;C94,H94, LOOKUP(1,0/(H$2:H94=I94),I$2:I95))))</f>
        <v>sphereSlot2</v>
      </c>
      <c r="J95" s="1" t="str">
        <f t="shared" si="64"/>
        <v>createMovieClipSub</v>
      </c>
      <c r="K95" s="1" t="str">
        <f t="shared" si="69"/>
        <v>sphereAnima</v>
      </c>
      <c r="L95" s="1" t="str">
        <f t="shared" si="70"/>
        <v>sphereAnima</v>
      </c>
      <c r="M95" s="1"/>
      <c r="N95" s="1"/>
      <c r="O95" s="1"/>
      <c r="P95" s="14" t="str">
        <f t="shared" ca="1" si="65"/>
        <v>MovieClipSub * sphereSlot2SphereAnima;</v>
      </c>
      <c r="Q95" s="14" t="str">
        <f t="shared" ca="1" si="66"/>
        <v>sphereSlot2SphereAnima= sphereSlot2-&gt;createMovieClipSub("sphereAnima");</v>
      </c>
    </row>
    <row r="96" spans="1:17" ht="13.8" customHeight="1" x14ac:dyDescent="0.25">
      <c r="A96" s="61" t="s">
        <v>732</v>
      </c>
      <c r="B96" s="5" t="s">
        <v>116</v>
      </c>
      <c r="C96" s="1">
        <f t="shared" ca="1" si="67"/>
        <v>3</v>
      </c>
      <c r="D96" s="1" t="s">
        <v>82</v>
      </c>
      <c r="E96" s="38" t="s">
        <v>134</v>
      </c>
      <c r="F96" s="1" t="s">
        <v>134</v>
      </c>
      <c r="G96" s="1" t="s">
        <v>594</v>
      </c>
      <c r="H96" s="1" t="str">
        <f t="shared" ca="1" si="68"/>
        <v>sphereSlot2SphereAnimaFire</v>
      </c>
      <c r="I96" s="1" t="str">
        <f ca="1">IF(C96&lt;2,"this",IF(C96=C95,I95,IF(C96&gt;C95,H95, LOOKUP(1,0/(H$2:H95=I95),I$2:I96))))</f>
        <v>sphereSlot2SphereAnima</v>
      </c>
      <c r="J96" s="1" t="str">
        <f t="shared" si="64"/>
        <v>createMovieClipSub</v>
      </c>
      <c r="K96" s="1" t="str">
        <f t="shared" si="69"/>
        <v>fire</v>
      </c>
      <c r="L96" s="1" t="str">
        <f t="shared" si="70"/>
        <v>fire</v>
      </c>
      <c r="M96" s="1"/>
      <c r="N96" s="1"/>
      <c r="O96" s="1"/>
      <c r="P96" s="14" t="str">
        <f t="shared" ca="1" si="65"/>
        <v>MovieClipSub * sphereSlot2SphereAnimaFire;</v>
      </c>
      <c r="Q96" s="14" t="str">
        <f t="shared" ca="1" si="66"/>
        <v>sphereSlot2SphereAnimaFire= sphereSlot2SphereAnima-&gt;createMovieClipSub("fire");</v>
      </c>
    </row>
    <row r="97" spans="1:17" x14ac:dyDescent="0.25">
      <c r="A97" s="62"/>
      <c r="B97" s="5" t="s">
        <v>117</v>
      </c>
      <c r="C97" s="1">
        <f t="shared" ca="1" si="67"/>
        <v>3</v>
      </c>
      <c r="D97" s="1" t="s">
        <v>82</v>
      </c>
      <c r="E97" s="38" t="s">
        <v>134</v>
      </c>
      <c r="F97" s="1" t="s">
        <v>134</v>
      </c>
      <c r="G97" s="1" t="s">
        <v>594</v>
      </c>
      <c r="H97" s="1" t="str">
        <f t="shared" ca="1" si="68"/>
        <v>sphereSlot2SphereAnimaIce</v>
      </c>
      <c r="I97" s="1" t="str">
        <f ca="1">IF(C97&lt;2,"this",IF(C97=C96,I96,IF(C97&gt;C96,H96, LOOKUP(1,0/(H$2:H96=I96),I$2:I97))))</f>
        <v>sphereSlot2SphereAnima</v>
      </c>
      <c r="J97" s="1" t="str">
        <f t="shared" si="64"/>
        <v>createMovieClipSub</v>
      </c>
      <c r="K97" s="1" t="str">
        <f t="shared" si="69"/>
        <v>ice</v>
      </c>
      <c r="L97" s="1" t="str">
        <f t="shared" si="70"/>
        <v>ice</v>
      </c>
      <c r="M97" s="1"/>
      <c r="N97" s="1"/>
      <c r="O97" s="1"/>
      <c r="P97" s="14" t="str">
        <f t="shared" ca="1" si="65"/>
        <v>MovieClipSub * sphereSlot2SphereAnimaIce;</v>
      </c>
      <c r="Q97" s="14" t="str">
        <f t="shared" ca="1" si="66"/>
        <v>sphereSlot2SphereAnimaIce= sphereSlot2SphereAnima-&gt;createMovieClipSub("ice");</v>
      </c>
    </row>
    <row r="98" spans="1:17" x14ac:dyDescent="0.25">
      <c r="A98" s="62"/>
      <c r="B98" s="5" t="s">
        <v>118</v>
      </c>
      <c r="C98" s="1">
        <f t="shared" ca="1" si="67"/>
        <v>3</v>
      </c>
      <c r="D98" s="1" t="s">
        <v>82</v>
      </c>
      <c r="E98" s="38" t="s">
        <v>134</v>
      </c>
      <c r="F98" s="1" t="s">
        <v>134</v>
      </c>
      <c r="G98" s="1" t="s">
        <v>594</v>
      </c>
      <c r="H98" s="1" t="str">
        <f t="shared" ca="1" si="68"/>
        <v>sphereSlot2SphereAnimaStone</v>
      </c>
      <c r="I98" s="1" t="str">
        <f ca="1">IF(C98&lt;2,"this",IF(C98=C97,I97,IF(C98&gt;C97,H97, LOOKUP(1,0/(H$2:H97=I97),I$2:I98))))</f>
        <v>sphereSlot2SphereAnima</v>
      </c>
      <c r="J98" s="1" t="str">
        <f t="shared" si="64"/>
        <v>createMovieClipSub</v>
      </c>
      <c r="K98" s="1" t="str">
        <f t="shared" si="69"/>
        <v>stone</v>
      </c>
      <c r="L98" s="1" t="str">
        <f t="shared" si="70"/>
        <v>stone</v>
      </c>
      <c r="M98" s="1"/>
      <c r="N98" s="1"/>
      <c r="O98" s="1"/>
      <c r="P98" s="14" t="str">
        <f t="shared" ca="1" si="65"/>
        <v>MovieClipSub * sphereSlot2SphereAnimaStone;</v>
      </c>
      <c r="Q98" s="14" t="str">
        <f t="shared" ca="1" si="66"/>
        <v>sphereSlot2SphereAnimaStone= sphereSlot2SphereAnima-&gt;createMovieClipSub("stone");</v>
      </c>
    </row>
    <row r="99" spans="1:17" x14ac:dyDescent="0.25">
      <c r="A99" s="63"/>
      <c r="B99" s="5" t="s">
        <v>119</v>
      </c>
      <c r="C99" s="1">
        <f t="shared" ca="1" si="67"/>
        <v>3</v>
      </c>
      <c r="D99" s="1" t="s">
        <v>82</v>
      </c>
      <c r="E99" s="38" t="s">
        <v>134</v>
      </c>
      <c r="F99" s="1" t="s">
        <v>134</v>
      </c>
      <c r="G99" s="1" t="s">
        <v>594</v>
      </c>
      <c r="H99" s="1" t="str">
        <f t="shared" ca="1" si="68"/>
        <v>sphereSlot2SphereAnimaLevin</v>
      </c>
      <c r="I99" s="1" t="str">
        <f ca="1">IF(C99&lt;2,"this",IF(C99=C98,I98,IF(C99&gt;C98,H98, LOOKUP(1,0/(H$2:H98=I98),I$2:I99))))</f>
        <v>sphereSlot2SphereAnima</v>
      </c>
      <c r="J99" s="1" t="str">
        <f t="shared" si="64"/>
        <v>createMovieClipSub</v>
      </c>
      <c r="K99" s="1" t="str">
        <f t="shared" si="69"/>
        <v>levin</v>
      </c>
      <c r="L99" s="1" t="str">
        <f t="shared" si="70"/>
        <v>levin</v>
      </c>
      <c r="M99" s="1"/>
      <c r="N99" s="1"/>
      <c r="O99" s="1"/>
      <c r="P99" s="14" t="str">
        <f t="shared" ca="1" si="65"/>
        <v>MovieClipSub * sphereSlot2SphereAnimaLevin;</v>
      </c>
      <c r="Q99" s="14" t="str">
        <f t="shared" ca="1" si="66"/>
        <v>sphereSlot2SphereAnimaLevin= sphereSlot2SphereAnima-&gt;createMovieClipSub("levin");</v>
      </c>
    </row>
    <row r="100" spans="1:17" s="46" customFormat="1" x14ac:dyDescent="0.25">
      <c r="A100" s="42"/>
      <c r="B100" s="43" t="s">
        <v>160</v>
      </c>
      <c r="C100" s="42">
        <f t="shared" ca="1" si="67"/>
        <v>0</v>
      </c>
      <c r="D100" s="1" t="s">
        <v>82</v>
      </c>
      <c r="E100" s="42" t="s">
        <v>712</v>
      </c>
      <c r="F100" s="42"/>
      <c r="G100" s="44" t="s">
        <v>595</v>
      </c>
      <c r="H100" s="42" t="str">
        <f t="shared" ca="1" si="68"/>
        <v>UltraTowerMenuHint_mc</v>
      </c>
      <c r="I100" s="42" t="str">
        <f ca="1">IF(C100&lt;2,"this",IF(C100=C99,I99,IF(C100&gt;C99,H99, LOOKUP(1,0/(H$2:H99=I99),I$2:I100))))</f>
        <v>this</v>
      </c>
      <c r="J100" s="42" t="str">
        <f t="shared" si="64"/>
        <v>createMovieClip</v>
      </c>
      <c r="K100" s="42" t="str">
        <f t="shared" si="69"/>
        <v>UltraTowerMenuHint_mc</v>
      </c>
      <c r="L100" s="42" t="str">
        <f t="shared" si="70"/>
        <v>UltraTowerMenuHint_mc</v>
      </c>
      <c r="M100" s="42"/>
      <c r="N100" s="42"/>
      <c r="O100" s="42"/>
      <c r="P100" s="45" t="str">
        <f t="shared" ca="1" si="65"/>
        <v/>
      </c>
      <c r="Q100" s="45" t="str">
        <f t="shared" ca="1" si="66"/>
        <v>UltraTowerMenuHint_mc::UltraTowerMenuHint_mc:MovieClip("tower","UltraTowerMenuHint_mc","UltraTowerMenuHint_mc"{)</v>
      </c>
    </row>
    <row r="101" spans="1:17" s="46" customFormat="1" x14ac:dyDescent="0.25">
      <c r="A101" s="42"/>
      <c r="B101" s="47" t="s">
        <v>161</v>
      </c>
      <c r="C101" s="42">
        <f t="shared" ca="1" si="67"/>
        <v>1</v>
      </c>
      <c r="D101" s="1" t="s">
        <v>82</v>
      </c>
      <c r="E101" s="42"/>
      <c r="F101" s="42"/>
      <c r="G101" s="42" t="s">
        <v>684</v>
      </c>
      <c r="H101" s="42" t="str">
        <f t="shared" ca="1" si="68"/>
        <v>damageTXT</v>
      </c>
      <c r="I101" s="42" t="str">
        <f ca="1">IF(C101&lt;2,"this",IF(C101=C100,I100,IF(C101&gt;C100,H100, LOOKUP(1,0/(H$2:H100=I100),I$2:I101))))</f>
        <v>this</v>
      </c>
      <c r="J101" s="42" t="str">
        <f t="shared" si="64"/>
        <v>createText</v>
      </c>
      <c r="K101" s="42" t="str">
        <f t="shared" si="69"/>
        <v>damageTXT</v>
      </c>
      <c r="L101" s="42" t="str">
        <f t="shared" si="70"/>
        <v>damageTXT</v>
      </c>
      <c r="M101" s="42"/>
      <c r="N101" s="42"/>
      <c r="O101" s="42"/>
      <c r="P101" s="45" t="str">
        <f t="shared" ca="1" si="65"/>
        <v>MCText * damageTXT;</v>
      </c>
      <c r="Q101" s="45" t="str">
        <f t="shared" ca="1" si="66"/>
        <v>damageTXT= this-&gt;createText("damageTXT");</v>
      </c>
    </row>
    <row r="102" spans="1:17" s="46" customFormat="1" x14ac:dyDescent="0.25">
      <c r="A102" s="42"/>
      <c r="B102" s="47" t="s">
        <v>108</v>
      </c>
      <c r="C102" s="42">
        <f t="shared" ca="1" si="67"/>
        <v>1</v>
      </c>
      <c r="D102" s="1" t="s">
        <v>82</v>
      </c>
      <c r="E102" s="42"/>
      <c r="F102" s="42"/>
      <c r="G102" s="42" t="s">
        <v>684</v>
      </c>
      <c r="H102" s="42" t="str">
        <f t="shared" ca="1" si="68"/>
        <v>nameTXT</v>
      </c>
      <c r="I102" s="42" t="str">
        <f ca="1">IF(C102&lt;2,"this",IF(C102=C101,I101,IF(C102&gt;C101,H101, LOOKUP(1,0/(H$2:H101=I101),I$2:I102))))</f>
        <v>this</v>
      </c>
      <c r="J102" s="42" t="str">
        <f t="shared" si="64"/>
        <v>createText</v>
      </c>
      <c r="K102" s="42" t="str">
        <f t="shared" si="69"/>
        <v>nameTXT</v>
      </c>
      <c r="L102" s="42" t="str">
        <f t="shared" si="70"/>
        <v>nameTXT</v>
      </c>
      <c r="M102" s="42"/>
      <c r="N102" s="42"/>
      <c r="O102" s="42"/>
      <c r="P102" s="45" t="str">
        <f t="shared" ca="1" si="65"/>
        <v>MCText * nameTXT;</v>
      </c>
      <c r="Q102" s="45" t="str">
        <f t="shared" ca="1" si="66"/>
        <v>nameTXT= this-&gt;createText("nameTXT");</v>
      </c>
    </row>
    <row r="103" spans="1:17" s="46" customFormat="1" x14ac:dyDescent="0.25">
      <c r="A103" s="42"/>
      <c r="B103" s="47" t="s">
        <v>162</v>
      </c>
      <c r="C103" s="42">
        <f t="shared" ca="1" si="67"/>
        <v>1</v>
      </c>
      <c r="D103" s="1" t="s">
        <v>82</v>
      </c>
      <c r="E103" s="42"/>
      <c r="F103" s="42"/>
      <c r="G103" s="42" t="s">
        <v>684</v>
      </c>
      <c r="H103" s="42" t="str">
        <f t="shared" ca="1" si="68"/>
        <v>noteTXT</v>
      </c>
      <c r="I103" s="42" t="str">
        <f ca="1">IF(C103&lt;2,"this",IF(C103=C102,I102,IF(C103&gt;C102,H102, LOOKUP(1,0/(H$2:H102=I102),I$2:I103))))</f>
        <v>this</v>
      </c>
      <c r="J103" s="42" t="str">
        <f t="shared" si="64"/>
        <v>createText</v>
      </c>
      <c r="K103" s="42" t="str">
        <f t="shared" si="69"/>
        <v>noteTXT</v>
      </c>
      <c r="L103" s="42" t="str">
        <f t="shared" si="70"/>
        <v>noteTXT</v>
      </c>
      <c r="M103" s="42"/>
      <c r="N103" s="42"/>
      <c r="O103" s="42"/>
      <c r="P103" s="45" t="str">
        <f t="shared" ca="1" si="65"/>
        <v>MCText * noteTXT;</v>
      </c>
      <c r="Q103" s="45" t="str">
        <f t="shared" ca="1" si="66"/>
        <v>noteTXT= this-&gt;createText("noteTXT");</v>
      </c>
    </row>
    <row r="104" spans="1:17" x14ac:dyDescent="0.25">
      <c r="A104" s="11" t="s">
        <v>163</v>
      </c>
      <c r="B104" s="29" t="s">
        <v>706</v>
      </c>
      <c r="C104" s="1">
        <f t="shared" ca="1" si="67"/>
        <v>0</v>
      </c>
      <c r="D104" s="1" t="s">
        <v>82</v>
      </c>
      <c r="E104" s="1"/>
      <c r="F104" s="1" t="s">
        <v>710</v>
      </c>
      <c r="G104" s="21" t="s">
        <v>595</v>
      </c>
      <c r="H104" s="1" t="str">
        <f t="shared" ca="1" si="68"/>
        <v>Tower1_mc</v>
      </c>
      <c r="I104" s="1" t="str">
        <f ca="1">IF(C104&lt;2,"this",IF(C104=C103,I103,IF(C104&gt;C103,H103, LOOKUP(1,0/(H$2:H103=I103),I$2:I104))))</f>
        <v>this</v>
      </c>
      <c r="J104" s="1" t="str">
        <f t="shared" si="64"/>
        <v>createMovieClip</v>
      </c>
      <c r="K104" s="1" t="str">
        <f t="shared" si="69"/>
        <v>Tower1_mc</v>
      </c>
      <c r="L104" s="1" t="str">
        <f t="shared" si="70"/>
        <v>Tower1_mc</v>
      </c>
      <c r="M104" s="1"/>
      <c r="N104" s="1"/>
      <c r="O104" s="1"/>
      <c r="P104" s="14" t="str">
        <f t="shared" ca="1" si="65"/>
        <v/>
      </c>
      <c r="Q104" s="14" t="str">
        <f t="shared" ca="1" si="66"/>
        <v>Tower1_mc::Tower1_mc:MovieClip("tower","Tower1_mc","Tower1_mc"{)</v>
      </c>
    </row>
    <row r="105" spans="1:17" x14ac:dyDescent="0.25">
      <c r="A105" s="64" t="s">
        <v>734</v>
      </c>
      <c r="B105" s="3" t="s">
        <v>164</v>
      </c>
      <c r="C105" s="1">
        <f t="shared" ca="1" si="67"/>
        <v>1</v>
      </c>
      <c r="D105" s="1" t="s">
        <v>82</v>
      </c>
      <c r="E105" s="1" t="s">
        <v>134</v>
      </c>
      <c r="F105" s="1" t="s">
        <v>710</v>
      </c>
      <c r="G105" s="1" t="s">
        <v>594</v>
      </c>
      <c r="H105" s="1" t="str">
        <f t="shared" ca="1" si="68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64"/>
        <v>createMovieClipSub</v>
      </c>
      <c r="K105" s="1" t="str">
        <f t="shared" si="69"/>
        <v>blockTower</v>
      </c>
      <c r="L105" s="1" t="str">
        <f t="shared" si="70"/>
        <v>blockTower</v>
      </c>
      <c r="M105" s="1"/>
      <c r="N105" s="1"/>
      <c r="O105" s="1"/>
      <c r="P105" s="14" t="str">
        <f t="shared" ca="1" si="65"/>
        <v>MovieClipSub * blockTower;</v>
      </c>
      <c r="Q105" s="14" t="str">
        <f t="shared" ca="1" si="66"/>
        <v>blockTower= this-&gt;createMovieClipSub("blockTower");</v>
      </c>
    </row>
    <row r="106" spans="1:17" x14ac:dyDescent="0.25">
      <c r="A106" s="65"/>
      <c r="B106" s="3" t="s">
        <v>165</v>
      </c>
      <c r="C106" s="1">
        <f t="shared" ca="1" si="67"/>
        <v>1</v>
      </c>
      <c r="D106" s="1" t="s">
        <v>82</v>
      </c>
      <c r="E106" s="1" t="s">
        <v>134</v>
      </c>
      <c r="F106" s="1" t="s">
        <v>710</v>
      </c>
      <c r="G106" s="1" t="s">
        <v>594</v>
      </c>
      <c r="H106" s="1" t="str">
        <f t="shared" ca="1" si="68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64"/>
        <v>createMovieClipSub</v>
      </c>
      <c r="K106" s="1" t="str">
        <f t="shared" si="69"/>
        <v>boneBlock</v>
      </c>
      <c r="L106" s="1" t="str">
        <f t="shared" si="70"/>
        <v>boneBlock</v>
      </c>
      <c r="M106" s="1"/>
      <c r="N106" s="1"/>
      <c r="O106" s="1"/>
      <c r="P106" s="14" t="str">
        <f t="shared" ca="1" si="65"/>
        <v>MovieClipSub * boneBlock;</v>
      </c>
      <c r="Q106" s="14" t="str">
        <f t="shared" ca="1" si="66"/>
        <v>boneBlock= this-&gt;createMovieClipSub("boneBlock");</v>
      </c>
    </row>
    <row r="107" spans="1:17" x14ac:dyDescent="0.25">
      <c r="A107" s="11"/>
      <c r="B107" s="3" t="s">
        <v>166</v>
      </c>
      <c r="C107" s="1">
        <f t="shared" ca="1" si="67"/>
        <v>1</v>
      </c>
      <c r="D107" s="1" t="s">
        <v>82</v>
      </c>
      <c r="E107" s="1" t="s">
        <v>134</v>
      </c>
      <c r="F107" s="1" t="s">
        <v>710</v>
      </c>
      <c r="G107" s="1" t="s">
        <v>594</v>
      </c>
      <c r="H107" s="1" t="str">
        <f t="shared" ca="1" si="68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64"/>
        <v>createMovieClipSub</v>
      </c>
      <c r="K107" s="1" t="str">
        <f t="shared" si="69"/>
        <v>selectTower</v>
      </c>
      <c r="L107" s="1" t="str">
        <f t="shared" si="70"/>
        <v>selectTower</v>
      </c>
      <c r="M107" s="1"/>
      <c r="N107" s="1"/>
      <c r="O107" s="1"/>
      <c r="P107" s="14" t="str">
        <f t="shared" ca="1" si="65"/>
        <v>MovieClipSub * selectTower;</v>
      </c>
      <c r="Q107" s="14" t="str">
        <f t="shared" ca="1" si="66"/>
        <v>selectTower= this-&gt;createMovieClipSub("selectTower");</v>
      </c>
    </row>
    <row r="108" spans="1:17" x14ac:dyDescent="0.25">
      <c r="A108" s="11"/>
      <c r="B108" s="3" t="s">
        <v>167</v>
      </c>
      <c r="C108" s="1">
        <f t="shared" ca="1" si="67"/>
        <v>1</v>
      </c>
      <c r="D108" s="1" t="s">
        <v>82</v>
      </c>
      <c r="E108" s="1" t="s">
        <v>134</v>
      </c>
      <c r="F108" s="1" t="s">
        <v>710</v>
      </c>
      <c r="G108" s="1" t="s">
        <v>682</v>
      </c>
      <c r="H108" s="1" t="str">
        <f t="shared" ca="1" si="68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64"/>
        <v>createCase</v>
      </c>
      <c r="K108" s="1" t="str">
        <f t="shared" si="69"/>
        <v>towerCase</v>
      </c>
      <c r="L108" s="1" t="str">
        <f t="shared" si="70"/>
        <v>towerCase</v>
      </c>
      <c r="M108" s="1"/>
      <c r="N108" s="1"/>
      <c r="O108" s="1"/>
      <c r="P108" s="14" t="str">
        <f t="shared" ca="1" si="65"/>
        <v>MCCase * towerCase;</v>
      </c>
      <c r="Q108" s="14" t="str">
        <f t="shared" ca="1" si="66"/>
        <v>towerCase= this-&gt;createCase("towerCase");</v>
      </c>
    </row>
    <row r="109" spans="1:17" x14ac:dyDescent="0.25">
      <c r="A109" s="11"/>
      <c r="B109" s="3" t="s">
        <v>718</v>
      </c>
      <c r="C109" s="1">
        <f t="shared" ca="1" si="67"/>
        <v>1</v>
      </c>
      <c r="D109" s="1" t="s">
        <v>82</v>
      </c>
      <c r="E109" s="1" t="s">
        <v>134</v>
      </c>
      <c r="F109" s="1" t="s">
        <v>710</v>
      </c>
      <c r="G109" s="1" t="s">
        <v>594</v>
      </c>
      <c r="H109" s="1" t="str">
        <f t="shared" ca="1" si="68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64"/>
        <v>createMovieClipSub</v>
      </c>
      <c r="K109" s="1" t="str">
        <f t="shared" si="69"/>
        <v>sphere1</v>
      </c>
      <c r="L109" s="1" t="str">
        <f t="shared" si="70"/>
        <v>sphere1</v>
      </c>
      <c r="M109" s="1"/>
      <c r="N109" s="1"/>
      <c r="O109" s="1"/>
      <c r="P109" s="14" t="str">
        <f t="shared" ca="1" si="65"/>
        <v>MovieClipSub * sphere1;</v>
      </c>
      <c r="Q109" s="14" t="str">
        <f t="shared" ca="1" si="66"/>
        <v>sphere1= this-&gt;createMovieClipSub("sphere1");</v>
      </c>
    </row>
    <row r="110" spans="1:17" x14ac:dyDescent="0.25">
      <c r="A110" s="11" t="s">
        <v>717</v>
      </c>
      <c r="B110" s="4" t="s">
        <v>212</v>
      </c>
      <c r="C110" s="1">
        <f t="shared" ca="1" si="67"/>
        <v>2</v>
      </c>
      <c r="D110" s="1" t="s">
        <v>82</v>
      </c>
      <c r="E110" s="1" t="s">
        <v>134</v>
      </c>
      <c r="F110" s="1" t="s">
        <v>710</v>
      </c>
      <c r="G110" s="1" t="s">
        <v>594</v>
      </c>
      <c r="H110" s="1" t="str">
        <f t="shared" ca="1" si="68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64"/>
        <v>createMovieClipSub</v>
      </c>
      <c r="K110" s="1" t="str">
        <f t="shared" si="69"/>
        <v>bullet</v>
      </c>
      <c r="L110" s="1" t="str">
        <f t="shared" si="70"/>
        <v>bullet</v>
      </c>
      <c r="M110" s="1"/>
      <c r="N110" s="1"/>
      <c r="O110" s="1"/>
      <c r="P110" s="14" t="str">
        <f t="shared" ca="1" si="65"/>
        <v>MovieClipSub * sphere1Bullet;</v>
      </c>
      <c r="Q110" s="14" t="str">
        <f t="shared" ca="1" si="66"/>
        <v>sphere1Bullet= sphere1-&gt;createMovieClipSub("bullet");</v>
      </c>
    </row>
    <row r="111" spans="1:17" x14ac:dyDescent="0.25">
      <c r="A111" s="11"/>
      <c r="B111" s="5" t="s">
        <v>84</v>
      </c>
      <c r="C111" s="1">
        <f t="shared" ca="1" si="67"/>
        <v>3</v>
      </c>
      <c r="D111" s="1" t="s">
        <v>82</v>
      </c>
      <c r="E111" s="1" t="s">
        <v>134</v>
      </c>
      <c r="F111" s="1" t="s">
        <v>710</v>
      </c>
      <c r="G111" s="1" t="s">
        <v>594</v>
      </c>
      <c r="H111" s="1" t="str">
        <f t="shared" ca="1" si="68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64"/>
        <v>createMovieClipSub</v>
      </c>
      <c r="K111" s="1" t="str">
        <f t="shared" si="69"/>
        <v>cont</v>
      </c>
      <c r="L111" s="1" t="str">
        <f t="shared" si="70"/>
        <v>cont</v>
      </c>
      <c r="M111" s="1"/>
      <c r="N111" s="1"/>
      <c r="O111" s="1"/>
      <c r="P111" s="14" t="str">
        <f t="shared" ca="1" si="65"/>
        <v>MovieClipSub * sphere1BulletCont;</v>
      </c>
      <c r="Q111" s="14" t="str">
        <f t="shared" ca="1" si="66"/>
        <v>sphere1BulletCont= sphere1Bullet-&gt;createMovieClipSub("cont");</v>
      </c>
    </row>
    <row r="112" spans="1:17" x14ac:dyDescent="0.25">
      <c r="A112" s="11" t="s">
        <v>169</v>
      </c>
      <c r="B112" s="29" t="s">
        <v>168</v>
      </c>
      <c r="C112" s="1">
        <f t="shared" ca="1" si="67"/>
        <v>0</v>
      </c>
      <c r="D112" s="1" t="s">
        <v>82</v>
      </c>
      <c r="E112" s="1" t="s">
        <v>134</v>
      </c>
      <c r="F112" s="1" t="s">
        <v>134</v>
      </c>
      <c r="G112" s="21" t="s">
        <v>595</v>
      </c>
      <c r="H112" s="1" t="str">
        <f t="shared" ca="1" si="68"/>
        <v>Tower2_mc</v>
      </c>
      <c r="I112" s="1" t="str">
        <f ca="1">IF(C112&lt;2,"this",IF(C112=C111,I111,IF(C112&gt;C111,H111, LOOKUP(1,0/(H$2:H111=I111),I$2:I112))))</f>
        <v>this</v>
      </c>
      <c r="J112" s="1" t="str">
        <f t="shared" si="64"/>
        <v>createMovieClip</v>
      </c>
      <c r="K112" s="1" t="str">
        <f t="shared" si="69"/>
        <v>Tower2_mc</v>
      </c>
      <c r="L112" s="1" t="str">
        <f t="shared" si="70"/>
        <v>Tower2_mc</v>
      </c>
      <c r="M112" s="1"/>
      <c r="N112" s="1"/>
      <c r="O112" s="1"/>
      <c r="P112" s="14" t="str">
        <f t="shared" ca="1" si="65"/>
        <v/>
      </c>
      <c r="Q112" s="14" t="str">
        <f t="shared" ca="1" si="66"/>
        <v>Tower2_mc::Tower2_mc:MovieClip("tower","Tower2_mc","Tower2_mc"{)</v>
      </c>
    </row>
    <row r="113" spans="1:17" x14ac:dyDescent="0.25">
      <c r="A113" s="64" t="s">
        <v>734</v>
      </c>
      <c r="B113" s="3" t="s">
        <v>164</v>
      </c>
      <c r="C113" s="1">
        <f t="shared" ca="1" si="67"/>
        <v>1</v>
      </c>
      <c r="D113" s="1" t="s">
        <v>82</v>
      </c>
      <c r="E113" s="1" t="s">
        <v>134</v>
      </c>
      <c r="F113" s="1" t="s">
        <v>134</v>
      </c>
      <c r="G113" s="1" t="s">
        <v>594</v>
      </c>
      <c r="H113" s="1" t="str">
        <f t="shared" ca="1" si="68"/>
        <v>blockTower</v>
      </c>
      <c r="I113" s="1" t="str">
        <f ca="1">IF(C113&lt;2,"this",IF(C113=C112,I112,IF(C113&gt;C112,H112, LOOKUP(1,0/(H$2:H112=I112),I$2:I113))))</f>
        <v>this</v>
      </c>
      <c r="J113" s="1" t="str">
        <f t="shared" si="64"/>
        <v>createMovieClipSub</v>
      </c>
      <c r="K113" s="1" t="str">
        <f t="shared" si="69"/>
        <v>blockTower</v>
      </c>
      <c r="L113" s="1" t="str">
        <f t="shared" si="70"/>
        <v>blockTower</v>
      </c>
      <c r="M113" s="1"/>
      <c r="N113" s="1"/>
      <c r="O113" s="1"/>
      <c r="P113" s="14" t="str">
        <f t="shared" ca="1" si="65"/>
        <v>MovieClipSub * blockTower;</v>
      </c>
      <c r="Q113" s="14" t="str">
        <f t="shared" ca="1" si="66"/>
        <v>blockTower= this-&gt;createMovieClipSub("blockTower");</v>
      </c>
    </row>
    <row r="114" spans="1:17" x14ac:dyDescent="0.25">
      <c r="A114" s="65"/>
      <c r="B114" s="3" t="s">
        <v>165</v>
      </c>
      <c r="C114" s="1">
        <f t="shared" ca="1" si="67"/>
        <v>1</v>
      </c>
      <c r="D114" s="1" t="s">
        <v>82</v>
      </c>
      <c r="E114" s="1" t="s">
        <v>134</v>
      </c>
      <c r="F114" s="1" t="s">
        <v>134</v>
      </c>
      <c r="G114" s="1" t="s">
        <v>594</v>
      </c>
      <c r="H114" s="1" t="str">
        <f t="shared" ca="1" si="68"/>
        <v>boneBlock</v>
      </c>
      <c r="I114" s="1" t="str">
        <f ca="1">IF(C114&lt;2,"this",IF(C114=C113,I113,IF(C114&gt;C113,H113, LOOKUP(1,0/(H$2:H113=I113),I$2:I114))))</f>
        <v>this</v>
      </c>
      <c r="J114" s="1" t="str">
        <f t="shared" si="64"/>
        <v>createMovieClipSub</v>
      </c>
      <c r="K114" s="1" t="str">
        <f t="shared" si="69"/>
        <v>boneBlock</v>
      </c>
      <c r="L114" s="1" t="str">
        <f t="shared" si="70"/>
        <v>boneBlock</v>
      </c>
      <c r="M114" s="1"/>
      <c r="N114" s="1"/>
      <c r="O114" s="1"/>
      <c r="P114" s="14" t="str">
        <f t="shared" ca="1" si="65"/>
        <v>MovieClipSub * boneBlock;</v>
      </c>
      <c r="Q114" s="14" t="str">
        <f t="shared" ca="1" si="66"/>
        <v>boneBlock= this-&gt;createMovieClipSub("boneBlock");</v>
      </c>
    </row>
    <row r="115" spans="1:17" x14ac:dyDescent="0.25">
      <c r="A115" s="11"/>
      <c r="B115" s="3" t="s">
        <v>166</v>
      </c>
      <c r="C115" s="1">
        <f t="shared" ca="1" si="67"/>
        <v>1</v>
      </c>
      <c r="D115" s="1" t="s">
        <v>82</v>
      </c>
      <c r="E115" s="1" t="s">
        <v>134</v>
      </c>
      <c r="F115" s="1" t="s">
        <v>134</v>
      </c>
      <c r="G115" s="1" t="s">
        <v>594</v>
      </c>
      <c r="H115" s="1" t="str">
        <f t="shared" ca="1" si="68"/>
        <v>selectTower</v>
      </c>
      <c r="I115" s="1" t="str">
        <f ca="1">IF(C115&lt;2,"this",IF(C115=C114,I114,IF(C115&gt;C114,H114, LOOKUP(1,0/(H$2:H114=I114),I$2:I115))))</f>
        <v>this</v>
      </c>
      <c r="J115" s="1" t="str">
        <f t="shared" si="64"/>
        <v>createMovieClipSub</v>
      </c>
      <c r="K115" s="1" t="str">
        <f t="shared" si="69"/>
        <v>selectTower</v>
      </c>
      <c r="L115" s="1" t="str">
        <f t="shared" si="70"/>
        <v>selectTower</v>
      </c>
      <c r="M115" s="1"/>
      <c r="N115" s="1"/>
      <c r="O115" s="1"/>
      <c r="P115" s="14" t="str">
        <f t="shared" ca="1" si="65"/>
        <v>MovieClipSub * selectTower;</v>
      </c>
      <c r="Q115" s="14" t="str">
        <f t="shared" ca="1" si="66"/>
        <v>selectTower= this-&gt;createMovieClipSub("selectTower");</v>
      </c>
    </row>
    <row r="116" spans="1:17" x14ac:dyDescent="0.25">
      <c r="A116" s="11"/>
      <c r="B116" s="3" t="s">
        <v>167</v>
      </c>
      <c r="C116" s="1">
        <f t="shared" ca="1" si="67"/>
        <v>1</v>
      </c>
      <c r="D116" s="1" t="s">
        <v>82</v>
      </c>
      <c r="E116" s="1" t="s">
        <v>134</v>
      </c>
      <c r="F116" s="1" t="s">
        <v>134</v>
      </c>
      <c r="G116" s="1" t="s">
        <v>682</v>
      </c>
      <c r="H116" s="1" t="str">
        <f t="shared" ca="1" si="68"/>
        <v>towerCase</v>
      </c>
      <c r="I116" s="1" t="str">
        <f ca="1">IF(C116&lt;2,"this",IF(C116=C115,I115,IF(C116&gt;C115,H115, LOOKUP(1,0/(H$2:H115=I115),I$2:I116))))</f>
        <v>this</v>
      </c>
      <c r="J116" s="1" t="str">
        <f t="shared" si="64"/>
        <v>createCase</v>
      </c>
      <c r="K116" s="1" t="str">
        <f t="shared" si="69"/>
        <v>towerCase</v>
      </c>
      <c r="L116" s="1" t="str">
        <f t="shared" si="70"/>
        <v>towerCase</v>
      </c>
      <c r="M116" s="1"/>
      <c r="N116" s="1"/>
      <c r="O116" s="1"/>
      <c r="P116" s="14" t="str">
        <f t="shared" ca="1" si="65"/>
        <v>MCCase * towerCase;</v>
      </c>
      <c r="Q116" s="14" t="str">
        <f t="shared" ca="1" si="66"/>
        <v>towerCase= this-&gt;createCase("towerCase");</v>
      </c>
    </row>
    <row r="117" spans="1:17" x14ac:dyDescent="0.25">
      <c r="A117" s="11"/>
      <c r="B117" s="3" t="s">
        <v>113</v>
      </c>
      <c r="C117" s="1">
        <f t="shared" ca="1" si="67"/>
        <v>1</v>
      </c>
      <c r="D117" s="1" t="s">
        <v>82</v>
      </c>
      <c r="E117" s="1" t="s">
        <v>134</v>
      </c>
      <c r="F117" s="1" t="s">
        <v>134</v>
      </c>
      <c r="G117" s="1" t="s">
        <v>594</v>
      </c>
      <c r="H117" s="1" t="str">
        <f t="shared" ca="1" si="68"/>
        <v>sphere1</v>
      </c>
      <c r="I117" s="1" t="str">
        <f ca="1">IF(C117&lt;2,"this",IF(C117=C116,I116,IF(C117&gt;C116,H116, LOOKUP(1,0/(H$2:H116=I116),I$2:I117))))</f>
        <v>this</v>
      </c>
      <c r="J117" s="1" t="str">
        <f t="shared" si="64"/>
        <v>createMovieClipSub</v>
      </c>
      <c r="K117" s="1" t="str">
        <f t="shared" si="69"/>
        <v>sphere1</v>
      </c>
      <c r="L117" s="1" t="str">
        <f t="shared" si="70"/>
        <v>sphere1</v>
      </c>
      <c r="M117" s="1"/>
      <c r="N117" s="1"/>
      <c r="O117" s="1"/>
      <c r="P117" s="14" t="str">
        <f t="shared" ca="1" si="65"/>
        <v>MovieClipSub * sphere1;</v>
      </c>
      <c r="Q117" s="14" t="str">
        <f t="shared" ca="1" si="66"/>
        <v>sphere1= this-&gt;createMovieClipSub("sphere1");</v>
      </c>
    </row>
    <row r="118" spans="1:17" x14ac:dyDescent="0.25">
      <c r="A118" s="11" t="s">
        <v>717</v>
      </c>
      <c r="B118" s="4" t="s">
        <v>212</v>
      </c>
      <c r="C118" s="1">
        <f t="shared" ca="1" si="67"/>
        <v>2</v>
      </c>
      <c r="D118" s="1" t="s">
        <v>82</v>
      </c>
      <c r="E118" s="1" t="s">
        <v>134</v>
      </c>
      <c r="F118" s="1" t="s">
        <v>134</v>
      </c>
      <c r="G118" s="1" t="s">
        <v>594</v>
      </c>
      <c r="H118" s="1" t="str">
        <f t="shared" ca="1" si="68"/>
        <v>sphere1Bullet</v>
      </c>
      <c r="I118" s="1" t="str">
        <f ca="1">IF(C118&lt;2,"this",IF(C118=C117,I117,IF(C118&gt;C117,H117, LOOKUP(1,0/(H$2:H117=I117),I$2:I118))))</f>
        <v>sphere1</v>
      </c>
      <c r="J118" s="1" t="str">
        <f t="shared" si="64"/>
        <v>createMovieClipSub</v>
      </c>
      <c r="K118" s="1" t="str">
        <f t="shared" si="69"/>
        <v>bullet</v>
      </c>
      <c r="L118" s="1" t="str">
        <f t="shared" si="70"/>
        <v>bullet</v>
      </c>
      <c r="M118" s="1"/>
      <c r="N118" s="1"/>
      <c r="O118" s="1"/>
      <c r="P118" s="14" t="str">
        <f t="shared" ca="1" si="65"/>
        <v>MovieClipSub * sphere1Bullet;</v>
      </c>
      <c r="Q118" s="14" t="str">
        <f t="shared" ca="1" si="66"/>
        <v>sphere1Bullet= sphere1-&gt;createMovieClipSub("bullet");</v>
      </c>
    </row>
    <row r="119" spans="1:17" x14ac:dyDescent="0.25">
      <c r="B119" s="5" t="s">
        <v>84</v>
      </c>
      <c r="C119" s="1">
        <f t="shared" ca="1" si="67"/>
        <v>3</v>
      </c>
      <c r="D119" s="1" t="s">
        <v>82</v>
      </c>
      <c r="E119" s="1" t="s">
        <v>134</v>
      </c>
      <c r="F119" s="1" t="s">
        <v>134</v>
      </c>
      <c r="G119" s="1" t="s">
        <v>594</v>
      </c>
      <c r="H119" s="1" t="str">
        <f t="shared" ca="1" si="68"/>
        <v>sphere1BulletCont</v>
      </c>
      <c r="I119" s="1" t="str">
        <f ca="1">IF(C119&lt;2,"this",IF(C119=C118,I118,IF(C119&gt;C118,H118, LOOKUP(1,0/(H$2:H118=I118),I$2:I119))))</f>
        <v>sphere1Bullet</v>
      </c>
      <c r="J119" s="1" t="str">
        <f t="shared" si="64"/>
        <v>createMovieClipSub</v>
      </c>
      <c r="K119" s="1" t="str">
        <f t="shared" si="69"/>
        <v>cont</v>
      </c>
      <c r="L119" s="1" t="str">
        <f t="shared" si="70"/>
        <v>cont</v>
      </c>
      <c r="M119" s="1"/>
      <c r="N119" s="1"/>
      <c r="O119" s="1"/>
      <c r="P119" s="14" t="str">
        <f t="shared" ca="1" si="65"/>
        <v>MovieClipSub * sphere1BulletCont;</v>
      </c>
      <c r="Q119" s="14" t="str">
        <f t="shared" ca="1" si="66"/>
        <v>sphere1BulletCont= sphere1Bullet-&gt;createMovieClipSub("cont");</v>
      </c>
    </row>
    <row r="120" spans="1:17" x14ac:dyDescent="0.25">
      <c r="A120" s="11"/>
      <c r="B120" s="3" t="s">
        <v>170</v>
      </c>
      <c r="C120" s="1">
        <f t="shared" ca="1" si="67"/>
        <v>1</v>
      </c>
      <c r="D120" s="1" t="s">
        <v>82</v>
      </c>
      <c r="E120" s="1" t="s">
        <v>134</v>
      </c>
      <c r="F120" s="1" t="s">
        <v>134</v>
      </c>
      <c r="G120" s="1" t="s">
        <v>594</v>
      </c>
      <c r="H120" s="1" t="str">
        <f t="shared" ca="1" si="68"/>
        <v>sphere2_1</v>
      </c>
      <c r="I120" s="1" t="str">
        <f ca="1">IF(C120&lt;2,"this",IF(C120=C119,I119,IF(C120&gt;C119,H119, LOOKUP(1,0/(H$2:H119=I119),I$2:I120))))</f>
        <v>this</v>
      </c>
      <c r="J120" s="1" t="str">
        <f t="shared" si="64"/>
        <v>createMovieClipSub</v>
      </c>
      <c r="K120" s="1" t="str">
        <f t="shared" si="69"/>
        <v>sphere2_1</v>
      </c>
      <c r="L120" s="1" t="str">
        <f t="shared" si="70"/>
        <v>sphere2_1</v>
      </c>
      <c r="M120" s="1"/>
      <c r="N120" s="1"/>
      <c r="O120" s="1"/>
      <c r="P120" s="14" t="str">
        <f t="shared" ca="1" si="65"/>
        <v>MovieClipSub * sphere2_1;</v>
      </c>
      <c r="Q120" s="14" t="str">
        <f t="shared" ca="1" si="66"/>
        <v>sphere2_1= this-&gt;createMovieClipSub("sphere2_1");</v>
      </c>
    </row>
    <row r="121" spans="1:17" x14ac:dyDescent="0.25">
      <c r="A121" s="11" t="s">
        <v>717</v>
      </c>
      <c r="B121" s="4" t="s">
        <v>212</v>
      </c>
      <c r="C121" s="1">
        <f t="shared" ca="1" si="67"/>
        <v>2</v>
      </c>
      <c r="D121" s="1" t="s">
        <v>82</v>
      </c>
      <c r="E121" s="1" t="s">
        <v>134</v>
      </c>
      <c r="F121" s="1" t="s">
        <v>134</v>
      </c>
      <c r="G121" s="1" t="s">
        <v>594</v>
      </c>
      <c r="H121" s="1" t="str">
        <f t="shared" ca="1" si="68"/>
        <v>sphere2_1Bullet</v>
      </c>
      <c r="I121" s="1" t="str">
        <f ca="1">IF(C121&lt;2,"this",IF(C121=C120,I120,IF(C121&gt;C120,H120, LOOKUP(1,0/(H$2:H120=I120),I$2:I121))))</f>
        <v>sphere2_1</v>
      </c>
      <c r="J121" s="1" t="str">
        <f t="shared" si="64"/>
        <v>createMovieClipSub</v>
      </c>
      <c r="K121" s="1" t="str">
        <f t="shared" si="69"/>
        <v>bullet</v>
      </c>
      <c r="L121" s="1" t="str">
        <f t="shared" si="70"/>
        <v>bullet</v>
      </c>
      <c r="M121" s="1"/>
      <c r="N121" s="1"/>
      <c r="O121" s="1"/>
      <c r="P121" s="14" t="str">
        <f t="shared" ca="1" si="65"/>
        <v>MovieClipSub * sphere2_1Bullet;</v>
      </c>
      <c r="Q121" s="14" t="str">
        <f t="shared" ca="1" si="66"/>
        <v>sphere2_1Bullet= sphere2_1-&gt;createMovieClipSub("bullet");</v>
      </c>
    </row>
    <row r="122" spans="1:17" x14ac:dyDescent="0.25">
      <c r="B122" s="5" t="s">
        <v>84</v>
      </c>
      <c r="C122" s="1">
        <f t="shared" ca="1" si="67"/>
        <v>3</v>
      </c>
      <c r="D122" s="1" t="s">
        <v>82</v>
      </c>
      <c r="E122" s="1" t="s">
        <v>134</v>
      </c>
      <c r="F122" s="1" t="s">
        <v>134</v>
      </c>
      <c r="G122" s="1" t="s">
        <v>594</v>
      </c>
      <c r="H122" s="1" t="str">
        <f t="shared" ca="1" si="68"/>
        <v>sphere2_1BulletCont</v>
      </c>
      <c r="I122" s="1" t="str">
        <f ca="1">IF(C122&lt;2,"this",IF(C122=C121,I121,IF(C122&gt;C121,H121, LOOKUP(1,0/(H$2:H121=I121),I$2:I122))))</f>
        <v>sphere2_1Bullet</v>
      </c>
      <c r="J122" s="1" t="str">
        <f t="shared" si="64"/>
        <v>createMovieClipSub</v>
      </c>
      <c r="K122" s="1" t="str">
        <f t="shared" si="69"/>
        <v>cont</v>
      </c>
      <c r="L122" s="1" t="str">
        <f t="shared" si="70"/>
        <v>cont</v>
      </c>
      <c r="M122" s="1"/>
      <c r="N122" s="1"/>
      <c r="O122" s="1"/>
      <c r="P122" s="14" t="str">
        <f t="shared" ca="1" si="65"/>
        <v>MovieClipSub * sphere2_1BulletCont;</v>
      </c>
      <c r="Q122" s="14" t="str">
        <f t="shared" ca="1" si="66"/>
        <v>sphere2_1BulletCont= sphere2_1Bullet-&gt;createMovieClipSub("cont");</v>
      </c>
    </row>
    <row r="123" spans="1:17" x14ac:dyDescent="0.25">
      <c r="A123" s="11"/>
      <c r="B123" s="3" t="s">
        <v>171</v>
      </c>
      <c r="C123" s="1">
        <f t="shared" ca="1" si="67"/>
        <v>1</v>
      </c>
      <c r="D123" s="1" t="s">
        <v>82</v>
      </c>
      <c r="E123" s="1" t="s">
        <v>134</v>
      </c>
      <c r="F123" s="1" t="s">
        <v>134</v>
      </c>
      <c r="G123" s="1" t="s">
        <v>594</v>
      </c>
      <c r="H123" s="1" t="str">
        <f t="shared" ca="1" si="68"/>
        <v>sphere2_2</v>
      </c>
      <c r="I123" s="1" t="str">
        <f ca="1">IF(C123&lt;2,"this",IF(C123=C122,I122,IF(C123&gt;C122,H122, LOOKUP(1,0/(H$2:H122=I122),I$2:I123))))</f>
        <v>this</v>
      </c>
      <c r="J123" s="1" t="str">
        <f t="shared" si="64"/>
        <v>createMovieClipSub</v>
      </c>
      <c r="K123" s="1" t="str">
        <f t="shared" si="69"/>
        <v>sphere2_2</v>
      </c>
      <c r="L123" s="1" t="str">
        <f t="shared" si="70"/>
        <v>sphere2_2</v>
      </c>
      <c r="M123" s="1"/>
      <c r="N123" s="1"/>
      <c r="O123" s="1"/>
      <c r="P123" s="14" t="str">
        <f t="shared" ca="1" si="65"/>
        <v>MovieClipSub * sphere2_2;</v>
      </c>
      <c r="Q123" s="14" t="str">
        <f t="shared" ca="1" si="66"/>
        <v>sphere2_2= this-&gt;createMovieClipSub("sphere2_2");</v>
      </c>
    </row>
    <row r="124" spans="1:17" x14ac:dyDescent="0.25">
      <c r="A124" s="11" t="s">
        <v>731</v>
      </c>
      <c r="B124" s="4" t="s">
        <v>212</v>
      </c>
      <c r="C124" s="1">
        <f t="shared" ca="1" si="67"/>
        <v>2</v>
      </c>
      <c r="D124" s="1" t="s">
        <v>82</v>
      </c>
      <c r="E124" s="1" t="s">
        <v>134</v>
      </c>
      <c r="F124" s="1" t="s">
        <v>134</v>
      </c>
      <c r="G124" s="1" t="s">
        <v>594</v>
      </c>
      <c r="H124" s="1" t="str">
        <f t="shared" ca="1" si="68"/>
        <v>sphere2_2Bullet</v>
      </c>
      <c r="I124" s="1" t="str">
        <f ca="1">IF(C124&lt;2,"this",IF(C124=C123,I123,IF(C124&gt;C123,H123, LOOKUP(1,0/(H$2:H123=I123),I$2:I124))))</f>
        <v>sphere2_2</v>
      </c>
      <c r="J124" s="1" t="str">
        <f t="shared" si="64"/>
        <v>createMovieClipSub</v>
      </c>
      <c r="K124" s="1" t="str">
        <f t="shared" si="69"/>
        <v>bullet</v>
      </c>
      <c r="L124" s="1" t="str">
        <f t="shared" si="70"/>
        <v>bullet</v>
      </c>
      <c r="M124" s="1"/>
      <c r="N124" s="1"/>
      <c r="O124" s="1"/>
      <c r="P124" s="14" t="str">
        <f t="shared" ca="1" si="65"/>
        <v>MovieClipSub * sphere2_2Bullet;</v>
      </c>
      <c r="Q124" s="14" t="str">
        <f t="shared" ca="1" si="66"/>
        <v>sphere2_2Bullet= sphere2_2-&gt;createMovieClipSub("bullet");</v>
      </c>
    </row>
    <row r="125" spans="1:17" x14ac:dyDescent="0.25">
      <c r="B125" s="5" t="s">
        <v>84</v>
      </c>
      <c r="C125" s="1">
        <f t="shared" ca="1" si="67"/>
        <v>3</v>
      </c>
      <c r="D125" s="1" t="s">
        <v>82</v>
      </c>
      <c r="E125" s="1" t="s">
        <v>134</v>
      </c>
      <c r="F125" s="1" t="s">
        <v>134</v>
      </c>
      <c r="G125" s="1" t="s">
        <v>594</v>
      </c>
      <c r="H125" s="1" t="str">
        <f t="shared" ca="1" si="68"/>
        <v>sphere2_2BulletCont</v>
      </c>
      <c r="I125" s="1" t="str">
        <f ca="1">IF(C125&lt;2,"this",IF(C125=C124,I124,IF(C125&gt;C124,H124, LOOKUP(1,0/(H$2:H124=I124),I$2:I125))))</f>
        <v>sphere2_2Bullet</v>
      </c>
      <c r="J125" s="1" t="str">
        <f t="shared" si="64"/>
        <v>createMovieClipSub</v>
      </c>
      <c r="K125" s="1" t="str">
        <f t="shared" si="69"/>
        <v>cont</v>
      </c>
      <c r="L125" s="1" t="str">
        <f t="shared" si="70"/>
        <v>cont</v>
      </c>
      <c r="M125" s="1"/>
      <c r="N125" s="1"/>
      <c r="O125" s="1"/>
      <c r="P125" s="14" t="str">
        <f t="shared" ca="1" si="65"/>
        <v>MovieClipSub * sphere2_2BulletCont;</v>
      </c>
      <c r="Q125" s="14" t="str">
        <f t="shared" ca="1" si="66"/>
        <v>sphere2_2BulletCont= sphere2_2Bullet-&gt;createMovieClipSub("cont");</v>
      </c>
    </row>
    <row r="126" spans="1:17" x14ac:dyDescent="0.25">
      <c r="A126" s="1" t="s">
        <v>173</v>
      </c>
      <c r="B126" s="29" t="s">
        <v>172</v>
      </c>
      <c r="C126" s="1">
        <f t="shared" ca="1" si="67"/>
        <v>0</v>
      </c>
      <c r="D126" s="1" t="s">
        <v>82</v>
      </c>
      <c r="E126" s="1" t="s">
        <v>134</v>
      </c>
      <c r="F126" s="1" t="s">
        <v>134</v>
      </c>
      <c r="G126" s="21" t="s">
        <v>595</v>
      </c>
      <c r="H126" s="1" t="str">
        <f t="shared" ca="1" si="68"/>
        <v>Tower3_mc</v>
      </c>
      <c r="I126" s="1" t="str">
        <f ca="1">IF(C126&lt;2,"this",IF(C126=C125,I125,IF(C126&gt;C125,H125, LOOKUP(1,0/(H$2:H125=I125),I$2:I126))))</f>
        <v>this</v>
      </c>
      <c r="J126" s="1" t="str">
        <f t="shared" si="64"/>
        <v>createMovieClip</v>
      </c>
      <c r="K126" s="1" t="str">
        <f t="shared" si="69"/>
        <v>Tower3_mc</v>
      </c>
      <c r="L126" s="1" t="str">
        <f t="shared" si="70"/>
        <v>Tower3_mc</v>
      </c>
      <c r="M126" s="1"/>
      <c r="N126" s="1"/>
      <c r="O126" s="1"/>
      <c r="P126" s="14" t="str">
        <f t="shared" ca="1" si="65"/>
        <v/>
      </c>
      <c r="Q126" s="14" t="str">
        <f t="shared" ca="1" si="66"/>
        <v>Tower3_mc::Tower3_mc:MovieClip("tower","Tower3_mc","Tower3_mc"{)</v>
      </c>
    </row>
    <row r="127" spans="1:17" x14ac:dyDescent="0.25">
      <c r="A127" s="64" t="s">
        <v>734</v>
      </c>
      <c r="B127" s="3" t="s">
        <v>164</v>
      </c>
      <c r="C127" s="1">
        <f t="shared" ca="1" si="67"/>
        <v>1</v>
      </c>
      <c r="D127" s="1" t="s">
        <v>82</v>
      </c>
      <c r="E127" s="1" t="s">
        <v>134</v>
      </c>
      <c r="F127" s="1" t="s">
        <v>134</v>
      </c>
      <c r="G127" s="1" t="s">
        <v>594</v>
      </c>
      <c r="H127" s="1" t="str">
        <f t="shared" ca="1" si="68"/>
        <v>blockTower</v>
      </c>
      <c r="I127" s="1" t="str">
        <f ca="1">IF(C127&lt;2,"this",IF(C127=C126,I126,IF(C127&gt;C126,H126, LOOKUP(1,0/(H$2:H126=I126),I$2:I127))))</f>
        <v>this</v>
      </c>
      <c r="J127" s="1" t="str">
        <f t="shared" si="64"/>
        <v>createMovieClipSub</v>
      </c>
      <c r="K127" s="1" t="str">
        <f t="shared" si="69"/>
        <v>blockTower</v>
      </c>
      <c r="L127" s="1" t="str">
        <f t="shared" si="70"/>
        <v>blockTower</v>
      </c>
      <c r="M127" s="1"/>
      <c r="N127" s="1"/>
      <c r="O127" s="1"/>
      <c r="P127" s="14" t="str">
        <f t="shared" ca="1" si="65"/>
        <v>MovieClipSub * blockTower;</v>
      </c>
      <c r="Q127" s="14" t="str">
        <f t="shared" ca="1" si="66"/>
        <v>blockTower= this-&gt;createMovieClipSub("blockTower");</v>
      </c>
    </row>
    <row r="128" spans="1:17" x14ac:dyDescent="0.25">
      <c r="A128" s="65"/>
      <c r="B128" s="3" t="s">
        <v>165</v>
      </c>
      <c r="C128" s="1">
        <f t="shared" ca="1" si="67"/>
        <v>1</v>
      </c>
      <c r="D128" s="1" t="s">
        <v>82</v>
      </c>
      <c r="E128" s="1" t="s">
        <v>134</v>
      </c>
      <c r="F128" s="1" t="s">
        <v>134</v>
      </c>
      <c r="G128" s="1" t="s">
        <v>594</v>
      </c>
      <c r="H128" s="1" t="str">
        <f t="shared" ca="1" si="68"/>
        <v>boneBlock</v>
      </c>
      <c r="I128" s="1" t="str">
        <f ca="1">IF(C128&lt;2,"this",IF(C128=C127,I127,IF(C128&gt;C127,H127, LOOKUP(1,0/(H$2:H127=I127),I$2:I128))))</f>
        <v>this</v>
      </c>
      <c r="J128" s="1" t="str">
        <f t="shared" si="64"/>
        <v>createMovieClipSub</v>
      </c>
      <c r="K128" s="1" t="str">
        <f t="shared" si="69"/>
        <v>boneBlock</v>
      </c>
      <c r="L128" s="1" t="str">
        <f t="shared" si="70"/>
        <v>boneBlock</v>
      </c>
      <c r="M128" s="1"/>
      <c r="N128" s="1"/>
      <c r="O128" s="1"/>
      <c r="P128" s="14" t="str">
        <f t="shared" ca="1" si="65"/>
        <v>MovieClipSub * boneBlock;</v>
      </c>
      <c r="Q128" s="14" t="str">
        <f t="shared" ca="1" si="66"/>
        <v>boneBlock= this-&gt;createMovieClipSub("boneBlock");</v>
      </c>
    </row>
    <row r="129" spans="1:17" x14ac:dyDescent="0.25">
      <c r="A129" s="11"/>
      <c r="B129" s="3" t="s">
        <v>166</v>
      </c>
      <c r="C129" s="1">
        <f t="shared" ca="1" si="67"/>
        <v>1</v>
      </c>
      <c r="D129" s="1" t="s">
        <v>82</v>
      </c>
      <c r="E129" s="1" t="s">
        <v>134</v>
      </c>
      <c r="F129" s="1" t="s">
        <v>134</v>
      </c>
      <c r="G129" s="1" t="s">
        <v>594</v>
      </c>
      <c r="H129" s="1" t="str">
        <f t="shared" ca="1" si="68"/>
        <v>selectTower</v>
      </c>
      <c r="I129" s="1" t="str">
        <f ca="1">IF(C129&lt;2,"this",IF(C129=C128,I128,IF(C129&gt;C128,H128, LOOKUP(1,0/(H$2:H128=I128),I$2:I129))))</f>
        <v>this</v>
      </c>
      <c r="J129" s="1" t="str">
        <f t="shared" si="64"/>
        <v>createMovieClipSub</v>
      </c>
      <c r="K129" s="1" t="str">
        <f t="shared" si="69"/>
        <v>selectTower</v>
      </c>
      <c r="L129" s="1" t="str">
        <f t="shared" si="70"/>
        <v>selectTower</v>
      </c>
      <c r="M129" s="1"/>
      <c r="N129" s="1"/>
      <c r="O129" s="1"/>
      <c r="P129" s="14" t="str">
        <f t="shared" ca="1" si="65"/>
        <v>MovieClipSub * selectTower;</v>
      </c>
      <c r="Q129" s="14" t="str">
        <f t="shared" ca="1" si="66"/>
        <v>selectTower= this-&gt;createMovieClipSub("selectTower");</v>
      </c>
    </row>
    <row r="130" spans="1:17" x14ac:dyDescent="0.25">
      <c r="A130" s="11"/>
      <c r="B130" s="3" t="s">
        <v>167</v>
      </c>
      <c r="C130" s="1">
        <f t="shared" ca="1" si="67"/>
        <v>1</v>
      </c>
      <c r="D130" s="1" t="s">
        <v>82</v>
      </c>
      <c r="E130" s="1" t="s">
        <v>134</v>
      </c>
      <c r="F130" s="1" t="s">
        <v>134</v>
      </c>
      <c r="G130" s="1" t="s">
        <v>682</v>
      </c>
      <c r="H130" s="1" t="str">
        <f t="shared" ca="1" si="68"/>
        <v>towerCase</v>
      </c>
      <c r="I130" s="1" t="str">
        <f ca="1">IF(C130&lt;2,"this",IF(C130=C129,I129,IF(C130&gt;C129,H129, LOOKUP(1,0/(H$2:H129=I129),I$2:I130))))</f>
        <v>this</v>
      </c>
      <c r="J130" s="1" t="str">
        <f t="shared" si="64"/>
        <v>createCase</v>
      </c>
      <c r="K130" s="1" t="str">
        <f t="shared" si="69"/>
        <v>towerCase</v>
      </c>
      <c r="L130" s="1" t="str">
        <f t="shared" si="70"/>
        <v>towerCase</v>
      </c>
      <c r="M130" s="1"/>
      <c r="N130" s="1"/>
      <c r="O130" s="1"/>
      <c r="P130" s="14" t="str">
        <f t="shared" ca="1" si="65"/>
        <v>MCCase * towerCase;</v>
      </c>
      <c r="Q130" s="14" t="str">
        <f t="shared" ca="1" si="66"/>
        <v>towerCase= this-&gt;createCase("towerCase");</v>
      </c>
    </row>
    <row r="131" spans="1:17" x14ac:dyDescent="0.25">
      <c r="A131" s="11"/>
      <c r="B131" s="3" t="s">
        <v>113</v>
      </c>
      <c r="C131" s="1">
        <f t="shared" ca="1" si="67"/>
        <v>1</v>
      </c>
      <c r="D131" s="1" t="s">
        <v>82</v>
      </c>
      <c r="E131" s="1" t="s">
        <v>134</v>
      </c>
      <c r="F131" s="1" t="s">
        <v>134</v>
      </c>
      <c r="G131" s="1" t="s">
        <v>594</v>
      </c>
      <c r="H131" s="1" t="str">
        <f t="shared" ca="1" si="68"/>
        <v>sphere1</v>
      </c>
      <c r="I131" s="1" t="str">
        <f ca="1">IF(C131&lt;2,"this",IF(C131=C130,I130,IF(C131&gt;C130,H130, LOOKUP(1,0/(H$2:H130=I130),I$2:I131))))</f>
        <v>this</v>
      </c>
      <c r="J131" s="1" t="str">
        <f t="shared" si="64"/>
        <v>createMovieClipSub</v>
      </c>
      <c r="K131" s="1" t="str">
        <f t="shared" si="69"/>
        <v>sphere1</v>
      </c>
      <c r="L131" s="1" t="str">
        <f t="shared" si="70"/>
        <v>sphere1</v>
      </c>
      <c r="M131" s="1"/>
      <c r="N131" s="1"/>
      <c r="O131" s="1"/>
      <c r="P131" s="14" t="str">
        <f t="shared" ca="1" si="65"/>
        <v>MovieClipSub * sphere1;</v>
      </c>
      <c r="Q131" s="14" t="str">
        <f t="shared" ca="1" si="66"/>
        <v>sphere1= this-&gt;createMovieClipSub("sphere1");</v>
      </c>
    </row>
    <row r="132" spans="1:17" x14ac:dyDescent="0.25">
      <c r="A132" s="11" t="s">
        <v>731</v>
      </c>
      <c r="B132" s="4" t="s">
        <v>212</v>
      </c>
      <c r="C132" s="1">
        <f t="shared" ca="1" si="67"/>
        <v>2</v>
      </c>
      <c r="D132" s="1" t="s">
        <v>82</v>
      </c>
      <c r="E132" s="1" t="s">
        <v>134</v>
      </c>
      <c r="F132" s="1" t="s">
        <v>134</v>
      </c>
      <c r="G132" s="1" t="s">
        <v>594</v>
      </c>
      <c r="H132" s="1" t="str">
        <f t="shared" ca="1" si="68"/>
        <v>sphere1Bullet</v>
      </c>
      <c r="I132" s="1" t="str">
        <f ca="1">IF(C132&lt;2,"this",IF(C132=C131,I131,IF(C132&gt;C131,H131, LOOKUP(1,0/(H$2:H131=I131),I$2:I132))))</f>
        <v>sphere1</v>
      </c>
      <c r="J132" s="1" t="str">
        <f t="shared" si="64"/>
        <v>createMovieClipSub</v>
      </c>
      <c r="K132" s="1" t="str">
        <f t="shared" si="69"/>
        <v>bullet</v>
      </c>
      <c r="L132" s="1" t="str">
        <f t="shared" si="70"/>
        <v>bullet</v>
      </c>
      <c r="M132" s="1"/>
      <c r="N132" s="1"/>
      <c r="O132" s="1"/>
      <c r="P132" s="14" t="str">
        <f t="shared" ca="1" si="65"/>
        <v>MovieClipSub * sphere1Bullet;</v>
      </c>
      <c r="Q132" s="14" t="str">
        <f t="shared" ca="1" si="66"/>
        <v>sphere1Bullet= sphere1-&gt;createMovieClipSub("bullet");</v>
      </c>
    </row>
    <row r="133" spans="1:17" x14ac:dyDescent="0.25">
      <c r="A133" s="11"/>
      <c r="B133" s="5" t="s">
        <v>84</v>
      </c>
      <c r="C133" s="1">
        <f t="shared" ca="1" si="67"/>
        <v>3</v>
      </c>
      <c r="D133" s="1" t="s">
        <v>82</v>
      </c>
      <c r="E133" s="1" t="s">
        <v>134</v>
      </c>
      <c r="F133" s="1" t="s">
        <v>134</v>
      </c>
      <c r="G133" s="1" t="s">
        <v>594</v>
      </c>
      <c r="H133" s="1" t="str">
        <f t="shared" ca="1" si="68"/>
        <v>sphere1BulletCont</v>
      </c>
      <c r="I133" s="1" t="str">
        <f ca="1">IF(C133&lt;2,"this",IF(C133=C132,I132,IF(C133&gt;C132,H132, LOOKUP(1,0/(H$2:H132=I132),I$2:I133))))</f>
        <v>sphere1Bullet</v>
      </c>
      <c r="J133" s="1" t="str">
        <f t="shared" si="64"/>
        <v>createMovieClipSub</v>
      </c>
      <c r="K133" s="1" t="str">
        <f t="shared" si="69"/>
        <v>cont</v>
      </c>
      <c r="L133" s="1" t="str">
        <f t="shared" si="70"/>
        <v>cont</v>
      </c>
      <c r="M133" s="1"/>
      <c r="N133" s="1"/>
      <c r="O133" s="1"/>
      <c r="P133" s="14" t="str">
        <f t="shared" ca="1" si="65"/>
        <v>MovieClipSub * sphere1BulletCont;</v>
      </c>
      <c r="Q133" s="14" t="str">
        <f t="shared" ca="1" si="66"/>
        <v>sphere1BulletCont= sphere1Bullet-&gt;createMovieClipSub("cont");</v>
      </c>
    </row>
    <row r="134" spans="1:17" x14ac:dyDescent="0.25">
      <c r="A134" s="11"/>
      <c r="B134" s="3" t="s">
        <v>170</v>
      </c>
      <c r="C134" s="1">
        <f t="shared" ca="1" si="67"/>
        <v>1</v>
      </c>
      <c r="D134" s="1" t="s">
        <v>82</v>
      </c>
      <c r="E134" s="1" t="s">
        <v>134</v>
      </c>
      <c r="F134" s="1" t="s">
        <v>134</v>
      </c>
      <c r="G134" s="1" t="s">
        <v>594</v>
      </c>
      <c r="H134" s="1" t="str">
        <f t="shared" ca="1" si="68"/>
        <v>sphere2_1</v>
      </c>
      <c r="I134" s="1" t="str">
        <f ca="1">IF(C134&lt;2,"this",IF(C134=C133,I133,IF(C134&gt;C133,H133, LOOKUP(1,0/(H$2:H133=I133),I$2:I134))))</f>
        <v>this</v>
      </c>
      <c r="J134" s="1" t="str">
        <f t="shared" si="64"/>
        <v>createMovieClipSub</v>
      </c>
      <c r="K134" s="1" t="str">
        <f t="shared" si="69"/>
        <v>sphere2_1</v>
      </c>
      <c r="L134" s="1" t="str">
        <f t="shared" si="70"/>
        <v>sphere2_1</v>
      </c>
      <c r="M134" s="1"/>
      <c r="N134" s="1"/>
      <c r="O134" s="1"/>
      <c r="P134" s="14" t="str">
        <f t="shared" ca="1" si="65"/>
        <v>MovieClipSub * sphere2_1;</v>
      </c>
      <c r="Q134" s="14" t="str">
        <f t="shared" ca="1" si="66"/>
        <v>sphere2_1= this-&gt;createMovieClipSub("sphere2_1");</v>
      </c>
    </row>
    <row r="135" spans="1:17" x14ac:dyDescent="0.25">
      <c r="A135" s="11" t="s">
        <v>731</v>
      </c>
      <c r="B135" s="4" t="s">
        <v>212</v>
      </c>
      <c r="C135" s="1">
        <f t="shared" ca="1" si="67"/>
        <v>2</v>
      </c>
      <c r="D135" s="1" t="s">
        <v>82</v>
      </c>
      <c r="E135" s="1" t="s">
        <v>134</v>
      </c>
      <c r="F135" s="1" t="s">
        <v>134</v>
      </c>
      <c r="G135" s="1" t="s">
        <v>594</v>
      </c>
      <c r="H135" s="1" t="str">
        <f t="shared" ca="1" si="68"/>
        <v>sphere2_1Bullet</v>
      </c>
      <c r="I135" s="1" t="str">
        <f ca="1">IF(C135&lt;2,"this",IF(C135=C134,I134,IF(C135&gt;C134,H134, LOOKUP(1,0/(H$2:H134=I134),I$2:I135))))</f>
        <v>sphere2_1</v>
      </c>
      <c r="J135" s="1" t="str">
        <f t="shared" si="64"/>
        <v>createMovieClipSub</v>
      </c>
      <c r="K135" s="1" t="str">
        <f t="shared" si="69"/>
        <v>bullet</v>
      </c>
      <c r="L135" s="1" t="str">
        <f t="shared" si="70"/>
        <v>bullet</v>
      </c>
      <c r="M135" s="1"/>
      <c r="N135" s="1"/>
      <c r="O135" s="1"/>
      <c r="P135" s="14" t="str">
        <f t="shared" ca="1" si="65"/>
        <v>MovieClipSub * sphere2_1Bullet;</v>
      </c>
      <c r="Q135" s="14" t="str">
        <f t="shared" ca="1" si="66"/>
        <v>sphere2_1Bullet= sphere2_1-&gt;createMovieClipSub("bullet");</v>
      </c>
    </row>
    <row r="136" spans="1:17" x14ac:dyDescent="0.25">
      <c r="A136" s="11"/>
      <c r="B136" s="5" t="s">
        <v>84</v>
      </c>
      <c r="C136" s="1">
        <f t="shared" ca="1" si="67"/>
        <v>3</v>
      </c>
      <c r="D136" s="1" t="s">
        <v>82</v>
      </c>
      <c r="E136" s="1" t="s">
        <v>134</v>
      </c>
      <c r="F136" s="1" t="s">
        <v>134</v>
      </c>
      <c r="G136" s="1" t="s">
        <v>594</v>
      </c>
      <c r="H136" s="1" t="str">
        <f t="shared" ca="1" si="68"/>
        <v>sphere2_1BulletCont</v>
      </c>
      <c r="I136" s="1" t="str">
        <f ca="1">IF(C136&lt;2,"this",IF(C136=C135,I135,IF(C136&gt;C135,H135, LOOKUP(1,0/(H$2:H135=I135),I$2:I136))))</f>
        <v>sphere2_1Bullet</v>
      </c>
      <c r="J136" s="1" t="str">
        <f t="shared" si="64"/>
        <v>createMovieClipSub</v>
      </c>
      <c r="K136" s="1" t="str">
        <f t="shared" si="69"/>
        <v>cont</v>
      </c>
      <c r="L136" s="1" t="str">
        <f t="shared" si="70"/>
        <v>cont</v>
      </c>
      <c r="M136" s="1"/>
      <c r="N136" s="1"/>
      <c r="O136" s="1"/>
      <c r="P136" s="14" t="str">
        <f t="shared" ca="1" si="65"/>
        <v>MovieClipSub * sphere2_1BulletCont;</v>
      </c>
      <c r="Q136" s="14" t="str">
        <f t="shared" ca="1" si="66"/>
        <v>sphere2_1BulletCont= sphere2_1Bullet-&gt;createMovieClipSub("cont");</v>
      </c>
    </row>
    <row r="137" spans="1:17" x14ac:dyDescent="0.25">
      <c r="A137" s="11"/>
      <c r="B137" s="3" t="s">
        <v>171</v>
      </c>
      <c r="C137" s="1">
        <f t="shared" ca="1" si="67"/>
        <v>1</v>
      </c>
      <c r="D137" s="1" t="s">
        <v>82</v>
      </c>
      <c r="E137" s="1" t="s">
        <v>134</v>
      </c>
      <c r="F137" s="1" t="s">
        <v>134</v>
      </c>
      <c r="G137" s="1" t="s">
        <v>594</v>
      </c>
      <c r="H137" s="1" t="str">
        <f t="shared" ca="1" si="68"/>
        <v>sphere2_2</v>
      </c>
      <c r="I137" s="1" t="str">
        <f ca="1">IF(C137&lt;2,"this",IF(C137=C136,I136,IF(C137&gt;C136,H136, LOOKUP(1,0/(H$2:H136=I136),I$2:I137))))</f>
        <v>this</v>
      </c>
      <c r="J137" s="1" t="str">
        <f t="shared" si="64"/>
        <v>createMovieClipSub</v>
      </c>
      <c r="K137" s="1" t="str">
        <f t="shared" si="69"/>
        <v>sphere2_2</v>
      </c>
      <c r="L137" s="1" t="str">
        <f t="shared" si="70"/>
        <v>sphere2_2</v>
      </c>
      <c r="M137" s="1"/>
      <c r="N137" s="1"/>
      <c r="O137" s="1"/>
      <c r="P137" s="14" t="str">
        <f t="shared" ca="1" si="65"/>
        <v>MovieClipSub * sphere2_2;</v>
      </c>
      <c r="Q137" s="14" t="str">
        <f t="shared" ca="1" si="66"/>
        <v>sphere2_2= this-&gt;createMovieClipSub("sphere2_2");</v>
      </c>
    </row>
    <row r="138" spans="1:17" x14ac:dyDescent="0.25">
      <c r="A138" s="11" t="s">
        <v>731</v>
      </c>
      <c r="B138" s="4" t="s">
        <v>212</v>
      </c>
      <c r="C138" s="1">
        <f t="shared" ca="1" si="67"/>
        <v>2</v>
      </c>
      <c r="D138" s="1" t="s">
        <v>82</v>
      </c>
      <c r="E138" s="1" t="s">
        <v>134</v>
      </c>
      <c r="F138" s="1" t="s">
        <v>134</v>
      </c>
      <c r="G138" s="1" t="s">
        <v>594</v>
      </c>
      <c r="H138" s="1" t="str">
        <f t="shared" ca="1" si="68"/>
        <v>sphere2_2Bullet</v>
      </c>
      <c r="I138" s="1" t="str">
        <f ca="1">IF(C138&lt;2,"this",IF(C138=C137,I137,IF(C138&gt;C137,H137, LOOKUP(1,0/(H$2:H137=I137),I$2:I138))))</f>
        <v>sphere2_2</v>
      </c>
      <c r="J138" s="1" t="str">
        <f t="shared" ref="J138:J201" si="71">CONCATENATE("create",IF(LEFT(G138,2)="MC",MID(G138,3,LEN(G138)),G138))</f>
        <v>createMovieClipSub</v>
      </c>
      <c r="K138" s="1" t="str">
        <f t="shared" si="69"/>
        <v>bullet</v>
      </c>
      <c r="L138" s="1" t="str">
        <f t="shared" si="70"/>
        <v>bullet</v>
      </c>
      <c r="M138" s="1"/>
      <c r="N138" s="1"/>
      <c r="O138" s="1"/>
      <c r="P138" s="14" t="str">
        <f t="shared" ref="P138:P201" ca="1" si="72">IF(C138&gt;0,G138 &amp; " * "&amp;H138 &amp;";","")</f>
        <v>MovieClipSub * sphere2_2Bullet;</v>
      </c>
      <c r="Q138" s="14" t="str">
        <f t="shared" ref="Q138:Q201" ca="1" si="73">IF(C138&gt;0,H138&amp;"= "&amp;I138&amp;"-&gt;"&amp;J138&amp;"("""&amp;K138&amp;""")"&amp;";",IF(RIGHT(B138,3)&lt;&gt;"_mc",G138&amp;"("""&amp;D138&amp;""","""&amp;B138&amp;""","""&amp;K138&amp;"""{)",B138&amp;"::"&amp;B138&amp;":"&amp;G138&amp;"("""&amp;D138&amp;""","""&amp;B138&amp;""","""&amp;K138&amp;"""{)"))</f>
        <v>sphere2_2Bullet= sphere2_2-&gt;createMovieClipSub("bullet");</v>
      </c>
    </row>
    <row r="139" spans="1:17" x14ac:dyDescent="0.25">
      <c r="A139" s="11"/>
      <c r="B139" s="5" t="s">
        <v>84</v>
      </c>
      <c r="C139" s="1">
        <f t="shared" ca="1" si="67"/>
        <v>3</v>
      </c>
      <c r="D139" s="1" t="s">
        <v>82</v>
      </c>
      <c r="E139" s="1" t="s">
        <v>134</v>
      </c>
      <c r="F139" s="1" t="s">
        <v>134</v>
      </c>
      <c r="G139" s="1" t="s">
        <v>594</v>
      </c>
      <c r="H139" s="1" t="str">
        <f t="shared" ca="1" si="68"/>
        <v>sphere2_2BulletCont</v>
      </c>
      <c r="I139" s="1" t="str">
        <f ca="1">IF(C139&lt;2,"this",IF(C139=C138,I138,IF(C139&gt;C138,H138, LOOKUP(1,0/(H$2:H138=I138),I$2:I139))))</f>
        <v>sphere2_2Bullet</v>
      </c>
      <c r="J139" s="1" t="str">
        <f t="shared" si="71"/>
        <v>createMovieClipSub</v>
      </c>
      <c r="K139" s="1" t="str">
        <f t="shared" si="69"/>
        <v>cont</v>
      </c>
      <c r="L139" s="1" t="str">
        <f t="shared" si="70"/>
        <v>cont</v>
      </c>
      <c r="M139" s="1"/>
      <c r="N139" s="1"/>
      <c r="O139" s="1"/>
      <c r="P139" s="14" t="str">
        <f t="shared" ca="1" si="72"/>
        <v>MovieClipSub * sphere2_2BulletCont;</v>
      </c>
      <c r="Q139" s="14" t="str">
        <f t="shared" ca="1" si="73"/>
        <v>sphere2_2BulletCont= sphere2_2Bullet-&gt;createMovieClipSub("cont");</v>
      </c>
    </row>
    <row r="140" spans="1:17" x14ac:dyDescent="0.25">
      <c r="A140" s="11"/>
      <c r="B140" s="3" t="s">
        <v>174</v>
      </c>
      <c r="C140" s="1">
        <f t="shared" ca="1" si="67"/>
        <v>1</v>
      </c>
      <c r="D140" s="1" t="s">
        <v>82</v>
      </c>
      <c r="E140" s="1" t="s">
        <v>134</v>
      </c>
      <c r="F140" s="1" t="s">
        <v>134</v>
      </c>
      <c r="G140" s="1" t="s">
        <v>594</v>
      </c>
      <c r="H140" s="1" t="str">
        <f t="shared" ca="1" si="68"/>
        <v>sphere3_1</v>
      </c>
      <c r="I140" s="1" t="str">
        <f ca="1">IF(C140&lt;2,"this",IF(C140=C139,I139,IF(C140&gt;C139,H139, LOOKUP(1,0/(H$2:H139=I139),I$2:I140))))</f>
        <v>this</v>
      </c>
      <c r="J140" s="1" t="str">
        <f t="shared" si="71"/>
        <v>createMovieClipSub</v>
      </c>
      <c r="K140" s="1" t="str">
        <f t="shared" si="69"/>
        <v>sphere3_1</v>
      </c>
      <c r="L140" s="1" t="str">
        <f t="shared" si="70"/>
        <v>sphere3_1</v>
      </c>
      <c r="M140" s="1"/>
      <c r="N140" s="1"/>
      <c r="O140" s="1"/>
      <c r="P140" s="14" t="str">
        <f t="shared" ca="1" si="72"/>
        <v>MovieClipSub * sphere3_1;</v>
      </c>
      <c r="Q140" s="14" t="str">
        <f t="shared" ca="1" si="73"/>
        <v>sphere3_1= this-&gt;createMovieClipSub("sphere3_1");</v>
      </c>
    </row>
    <row r="141" spans="1:17" x14ac:dyDescent="0.25">
      <c r="A141" s="11" t="s">
        <v>731</v>
      </c>
      <c r="B141" s="4" t="s">
        <v>212</v>
      </c>
      <c r="C141" s="1">
        <f t="shared" ca="1" si="67"/>
        <v>2</v>
      </c>
      <c r="D141" s="1" t="s">
        <v>82</v>
      </c>
      <c r="E141" s="1" t="s">
        <v>134</v>
      </c>
      <c r="F141" s="1" t="s">
        <v>134</v>
      </c>
      <c r="G141" s="1" t="s">
        <v>594</v>
      </c>
      <c r="H141" s="1" t="str">
        <f t="shared" ca="1" si="68"/>
        <v>sphere3_1Bullet</v>
      </c>
      <c r="I141" s="1" t="str">
        <f ca="1">IF(C141&lt;2,"this",IF(C141=C140,I140,IF(C141&gt;C140,H140, LOOKUP(1,0/(H$2:H140=I140),I$2:I141))))</f>
        <v>sphere3_1</v>
      </c>
      <c r="J141" s="1" t="str">
        <f t="shared" si="71"/>
        <v>createMovieClipSub</v>
      </c>
      <c r="K141" s="1" t="str">
        <f t="shared" si="69"/>
        <v>bullet</v>
      </c>
      <c r="L141" s="1" t="str">
        <f t="shared" si="70"/>
        <v>bullet</v>
      </c>
      <c r="M141" s="1"/>
      <c r="N141" s="1"/>
      <c r="O141" s="1"/>
      <c r="P141" s="14" t="str">
        <f t="shared" ca="1" si="72"/>
        <v>MovieClipSub * sphere3_1Bullet;</v>
      </c>
      <c r="Q141" s="14" t="str">
        <f t="shared" ca="1" si="73"/>
        <v>sphere3_1Bullet= sphere3_1-&gt;createMovieClipSub("bullet");</v>
      </c>
    </row>
    <row r="142" spans="1:17" x14ac:dyDescent="0.25">
      <c r="A142" s="11"/>
      <c r="B142" s="5" t="s">
        <v>84</v>
      </c>
      <c r="C142" s="1">
        <f t="shared" ca="1" si="67"/>
        <v>3</v>
      </c>
      <c r="D142" s="1" t="s">
        <v>82</v>
      </c>
      <c r="E142" s="1" t="s">
        <v>134</v>
      </c>
      <c r="F142" s="1" t="s">
        <v>134</v>
      </c>
      <c r="G142" s="1" t="s">
        <v>594</v>
      </c>
      <c r="H142" s="1" t="str">
        <f t="shared" ca="1" si="68"/>
        <v>sphere3_1BulletCont</v>
      </c>
      <c r="I142" s="1" t="str">
        <f ca="1">IF(C142&lt;2,"this",IF(C142=C141,I141,IF(C142&gt;C141,H141, LOOKUP(1,0/(H$2:H141=I141),I$2:I142))))</f>
        <v>sphere3_1Bullet</v>
      </c>
      <c r="J142" s="1" t="str">
        <f t="shared" si="71"/>
        <v>createMovieClipSub</v>
      </c>
      <c r="K142" s="1" t="str">
        <f t="shared" si="69"/>
        <v>cont</v>
      </c>
      <c r="L142" s="1" t="str">
        <f t="shared" si="70"/>
        <v>cont</v>
      </c>
      <c r="M142" s="1"/>
      <c r="N142" s="1"/>
      <c r="O142" s="1"/>
      <c r="P142" s="14" t="str">
        <f t="shared" ca="1" si="72"/>
        <v>MovieClipSub * sphere3_1BulletCont;</v>
      </c>
      <c r="Q142" s="14" t="str">
        <f t="shared" ca="1" si="73"/>
        <v>sphere3_1BulletCont= sphere3_1Bullet-&gt;createMovieClipSub("cont");</v>
      </c>
    </row>
    <row r="143" spans="1:17" x14ac:dyDescent="0.25">
      <c r="A143" s="11"/>
      <c r="B143" s="3" t="s">
        <v>175</v>
      </c>
      <c r="C143" s="1">
        <f t="shared" ca="1" si="67"/>
        <v>1</v>
      </c>
      <c r="D143" s="1" t="s">
        <v>82</v>
      </c>
      <c r="E143" s="1" t="s">
        <v>134</v>
      </c>
      <c r="F143" s="1" t="s">
        <v>134</v>
      </c>
      <c r="G143" s="1" t="s">
        <v>594</v>
      </c>
      <c r="H143" s="1" t="str">
        <f t="shared" ca="1" si="68"/>
        <v>sphere3_2</v>
      </c>
      <c r="I143" s="1" t="str">
        <f ca="1">IF(C143&lt;2,"this",IF(C143=C142,I142,IF(C143&gt;C142,H142, LOOKUP(1,0/(H$2:H142=I142),I$2:I143))))</f>
        <v>this</v>
      </c>
      <c r="J143" s="1" t="str">
        <f t="shared" si="71"/>
        <v>createMovieClipSub</v>
      </c>
      <c r="K143" s="1" t="str">
        <f t="shared" si="69"/>
        <v>sphere3_2</v>
      </c>
      <c r="L143" s="1" t="str">
        <f t="shared" si="70"/>
        <v>sphere3_2</v>
      </c>
      <c r="M143" s="1"/>
      <c r="N143" s="1"/>
      <c r="O143" s="1"/>
      <c r="P143" s="14" t="str">
        <f t="shared" ca="1" si="72"/>
        <v>MovieClipSub * sphere3_2;</v>
      </c>
      <c r="Q143" s="14" t="str">
        <f t="shared" ca="1" si="73"/>
        <v>sphere3_2= this-&gt;createMovieClipSub("sphere3_2");</v>
      </c>
    </row>
    <row r="144" spans="1:17" x14ac:dyDescent="0.25">
      <c r="A144" s="11" t="s">
        <v>731</v>
      </c>
      <c r="B144" s="4" t="s">
        <v>212</v>
      </c>
      <c r="C144" s="1">
        <f t="shared" ca="1" si="67"/>
        <v>2</v>
      </c>
      <c r="D144" s="1" t="s">
        <v>82</v>
      </c>
      <c r="E144" s="1" t="s">
        <v>134</v>
      </c>
      <c r="F144" s="1" t="s">
        <v>134</v>
      </c>
      <c r="G144" s="1" t="s">
        <v>594</v>
      </c>
      <c r="H144" s="1" t="str">
        <f t="shared" ca="1" si="68"/>
        <v>sphere3_2Bullet</v>
      </c>
      <c r="I144" s="1" t="str">
        <f ca="1">IF(C144&lt;2,"this",IF(C144=C143,I143,IF(C144&gt;C143,H143, LOOKUP(1,0/(H$2:H143=I143),I$2:I144))))</f>
        <v>sphere3_2</v>
      </c>
      <c r="J144" s="1" t="str">
        <f t="shared" si="71"/>
        <v>createMovieClipSub</v>
      </c>
      <c r="K144" s="1" t="str">
        <f t="shared" si="69"/>
        <v>bullet</v>
      </c>
      <c r="L144" s="1" t="str">
        <f t="shared" si="70"/>
        <v>bullet</v>
      </c>
      <c r="M144" s="1"/>
      <c r="N144" s="1"/>
      <c r="O144" s="1"/>
      <c r="P144" s="14" t="str">
        <f t="shared" ca="1" si="72"/>
        <v>MovieClipSub * sphere3_2Bullet;</v>
      </c>
      <c r="Q144" s="14" t="str">
        <f t="shared" ca="1" si="73"/>
        <v>sphere3_2Bullet= sphere3_2-&gt;createMovieClipSub("bullet");</v>
      </c>
    </row>
    <row r="145" spans="1:17" x14ac:dyDescent="0.25">
      <c r="A145" s="11"/>
      <c r="B145" s="5" t="s">
        <v>84</v>
      </c>
      <c r="C145" s="1">
        <f t="shared" ca="1" si="67"/>
        <v>3</v>
      </c>
      <c r="D145" s="1" t="s">
        <v>82</v>
      </c>
      <c r="E145" s="1" t="s">
        <v>134</v>
      </c>
      <c r="F145" s="1" t="s">
        <v>134</v>
      </c>
      <c r="G145" s="1" t="s">
        <v>594</v>
      </c>
      <c r="H145" s="1" t="str">
        <f t="shared" ca="1" si="68"/>
        <v>sphere3_2BulletCont</v>
      </c>
      <c r="I145" s="1" t="str">
        <f ca="1">IF(C145&lt;2,"this",IF(C145=C144,I144,IF(C145&gt;C144,H144, LOOKUP(1,0/(H$2:H144=I144),I$2:I145))))</f>
        <v>sphere3_2Bullet</v>
      </c>
      <c r="J145" s="1" t="str">
        <f t="shared" si="71"/>
        <v>createMovieClipSub</v>
      </c>
      <c r="K145" s="1" t="str">
        <f t="shared" si="69"/>
        <v>cont</v>
      </c>
      <c r="L145" s="1" t="str">
        <f t="shared" si="70"/>
        <v>cont</v>
      </c>
      <c r="M145" s="1"/>
      <c r="N145" s="1"/>
      <c r="O145" s="1"/>
      <c r="P145" s="14" t="str">
        <f t="shared" ca="1" si="72"/>
        <v>MovieClipSub * sphere3_2BulletCont;</v>
      </c>
      <c r="Q145" s="14" t="str">
        <f t="shared" ca="1" si="73"/>
        <v>sphere3_2BulletCont= sphere3_2Bullet-&gt;createMovieClipSub("cont");</v>
      </c>
    </row>
    <row r="146" spans="1:17" x14ac:dyDescent="0.25">
      <c r="A146" s="11"/>
      <c r="B146" s="3" t="s">
        <v>176</v>
      </c>
      <c r="C146" s="1">
        <f t="shared" ca="1" si="67"/>
        <v>1</v>
      </c>
      <c r="D146" s="1" t="s">
        <v>82</v>
      </c>
      <c r="E146" s="1" t="s">
        <v>134</v>
      </c>
      <c r="F146" s="1" t="s">
        <v>134</v>
      </c>
      <c r="G146" s="1" t="s">
        <v>594</v>
      </c>
      <c r="H146" s="1" t="str">
        <f t="shared" ca="1" si="68"/>
        <v>sphere3_3</v>
      </c>
      <c r="I146" s="1" t="str">
        <f ca="1">IF(C146&lt;2,"this",IF(C146=C145,I145,IF(C146&gt;C145,H145, LOOKUP(1,0/(H$2:H145=I145),I$2:I146))))</f>
        <v>this</v>
      </c>
      <c r="J146" s="1" t="str">
        <f t="shared" si="71"/>
        <v>createMovieClipSub</v>
      </c>
      <c r="K146" s="1" t="str">
        <f t="shared" si="69"/>
        <v>sphere3_3</v>
      </c>
      <c r="L146" s="1" t="str">
        <f t="shared" si="70"/>
        <v>sphere3_3</v>
      </c>
      <c r="M146" s="1"/>
      <c r="N146" s="1"/>
      <c r="O146" s="1"/>
      <c r="P146" s="14" t="str">
        <f t="shared" ca="1" si="72"/>
        <v>MovieClipSub * sphere3_3;</v>
      </c>
      <c r="Q146" s="14" t="str">
        <f t="shared" ca="1" si="73"/>
        <v>sphere3_3= this-&gt;createMovieClipSub("sphere3_3");</v>
      </c>
    </row>
    <row r="147" spans="1:17" x14ac:dyDescent="0.25">
      <c r="A147" s="11" t="s">
        <v>731</v>
      </c>
      <c r="B147" s="4" t="s">
        <v>212</v>
      </c>
      <c r="C147" s="1">
        <f t="shared" ca="1" si="67"/>
        <v>2</v>
      </c>
      <c r="D147" s="1" t="s">
        <v>82</v>
      </c>
      <c r="E147" s="1" t="s">
        <v>134</v>
      </c>
      <c r="F147" s="1" t="s">
        <v>134</v>
      </c>
      <c r="G147" s="1" t="s">
        <v>594</v>
      </c>
      <c r="H147" s="1" t="str">
        <f t="shared" ca="1" si="68"/>
        <v>sphere3_3Bullet</v>
      </c>
      <c r="I147" s="1" t="str">
        <f ca="1">IF(C147&lt;2,"this",IF(C147=C146,I146,IF(C147&gt;C146,H146, LOOKUP(1,0/(H$2:H146=I146),I$2:I147))))</f>
        <v>sphere3_3</v>
      </c>
      <c r="J147" s="1" t="str">
        <f t="shared" si="71"/>
        <v>createMovieClipSub</v>
      </c>
      <c r="K147" s="1" t="str">
        <f t="shared" si="69"/>
        <v>bullet</v>
      </c>
      <c r="L147" s="1" t="str">
        <f t="shared" si="70"/>
        <v>bullet</v>
      </c>
      <c r="M147" s="1"/>
      <c r="N147" s="1"/>
      <c r="O147" s="1"/>
      <c r="P147" s="14" t="str">
        <f t="shared" ca="1" si="72"/>
        <v>MovieClipSub * sphere3_3Bullet;</v>
      </c>
      <c r="Q147" s="14" t="str">
        <f t="shared" ca="1" si="73"/>
        <v>sphere3_3Bullet= sphere3_3-&gt;createMovieClipSub("bullet");</v>
      </c>
    </row>
    <row r="148" spans="1:17" x14ac:dyDescent="0.25">
      <c r="A148" s="11"/>
      <c r="B148" s="5" t="s">
        <v>84</v>
      </c>
      <c r="C148" s="1">
        <f t="shared" ca="1" si="67"/>
        <v>3</v>
      </c>
      <c r="D148" s="1" t="s">
        <v>82</v>
      </c>
      <c r="E148" s="1" t="s">
        <v>134</v>
      </c>
      <c r="F148" s="1" t="s">
        <v>134</v>
      </c>
      <c r="G148" s="1" t="s">
        <v>594</v>
      </c>
      <c r="H148" s="1" t="str">
        <f t="shared" ca="1" si="68"/>
        <v>sphere3_3BulletCont</v>
      </c>
      <c r="I148" s="1" t="str">
        <f ca="1">IF(C148&lt;2,"this",IF(C148=C147,I147,IF(C148&gt;C147,H147, LOOKUP(1,0/(H$2:H147=I147),I$2:I148))))</f>
        <v>sphere3_3Bullet</v>
      </c>
      <c r="J148" s="1" t="str">
        <f t="shared" si="71"/>
        <v>createMovieClipSub</v>
      </c>
      <c r="K148" s="1" t="str">
        <f t="shared" si="69"/>
        <v>cont</v>
      </c>
      <c r="L148" s="1" t="str">
        <f t="shared" si="70"/>
        <v>cont</v>
      </c>
      <c r="M148" s="1"/>
      <c r="N148" s="1"/>
      <c r="O148" s="1"/>
      <c r="P148" s="14" t="str">
        <f t="shared" ca="1" si="72"/>
        <v>MovieClipSub * sphere3_3BulletCont;</v>
      </c>
      <c r="Q148" s="14" t="str">
        <f t="shared" ca="1" si="73"/>
        <v>sphere3_3BulletCont= sphere3_3Bullet-&gt;createMovieClipSub("cont");</v>
      </c>
    </row>
    <row r="149" spans="1:17" x14ac:dyDescent="0.25">
      <c r="A149" s="1" t="s">
        <v>177</v>
      </c>
      <c r="B149" s="29" t="s">
        <v>178</v>
      </c>
      <c r="C149" s="1">
        <f t="shared" ca="1" si="67"/>
        <v>0</v>
      </c>
      <c r="D149" s="1" t="s">
        <v>82</v>
      </c>
      <c r="E149" s="1" t="s">
        <v>763</v>
      </c>
      <c r="F149" s="1"/>
      <c r="G149" s="21" t="s">
        <v>595</v>
      </c>
      <c r="H149" s="1" t="str">
        <f t="shared" ca="1" si="68"/>
        <v>Tower4_mc</v>
      </c>
      <c r="I149" s="1" t="str">
        <f ca="1">IF(C149&lt;2,"this",IF(C149=C148,I148,IF(C149&gt;C148,H148, LOOKUP(1,0/(H$2:H148=I148),I$2:I149))))</f>
        <v>this</v>
      </c>
      <c r="J149" s="1" t="str">
        <f t="shared" si="71"/>
        <v>createMovieClip</v>
      </c>
      <c r="K149" s="1" t="str">
        <f t="shared" si="69"/>
        <v>Tower4_mc</v>
      </c>
      <c r="L149" s="1" t="str">
        <f t="shared" si="70"/>
        <v>Tower4_mc</v>
      </c>
      <c r="M149" s="1"/>
      <c r="N149" s="1"/>
      <c r="O149" s="1"/>
      <c r="P149" s="14" t="str">
        <f t="shared" ca="1" si="72"/>
        <v/>
      </c>
      <c r="Q149" s="14" t="str">
        <f t="shared" ca="1" si="73"/>
        <v>Tower4_mc::Tower4_mc:MovieClip("tower","Tower4_mc","Tower4_mc"{)</v>
      </c>
    </row>
    <row r="150" spans="1:17" x14ac:dyDescent="0.25">
      <c r="A150" s="1"/>
      <c r="B150" s="3" t="s">
        <v>164</v>
      </c>
      <c r="C150" s="1">
        <f t="shared" ref="C150:C213" ca="1" si="74">indent(B150)</f>
        <v>1</v>
      </c>
      <c r="D150" s="1" t="s">
        <v>82</v>
      </c>
      <c r="E150" s="1" t="s">
        <v>763</v>
      </c>
      <c r="F150" s="1"/>
      <c r="G150" s="1" t="s">
        <v>594</v>
      </c>
      <c r="H150" s="1" t="str">
        <f t="shared" ca="1" si="68"/>
        <v>blockTower</v>
      </c>
      <c r="I150" s="1" t="str">
        <f ca="1">IF(C150&lt;2,"this",IF(C150=C149,I149,IF(C150&gt;C149,H149, LOOKUP(1,0/(H$2:H149=I149),I$2:I150))))</f>
        <v>this</v>
      </c>
      <c r="J150" s="1" t="str">
        <f t="shared" si="71"/>
        <v>createMovieClipSub</v>
      </c>
      <c r="K150" s="1" t="str">
        <f t="shared" si="69"/>
        <v>blockTower</v>
      </c>
      <c r="L150" s="1" t="str">
        <f t="shared" si="70"/>
        <v>blockTower</v>
      </c>
      <c r="M150" s="1"/>
      <c r="N150" s="1"/>
      <c r="O150" s="1"/>
      <c r="P150" s="14" t="str">
        <f t="shared" ca="1" si="72"/>
        <v>MovieClipSub * blockTower;</v>
      </c>
      <c r="Q150" s="14" t="str">
        <f t="shared" ca="1" si="73"/>
        <v>blockTower= this-&gt;createMovieClipSub("blockTower");</v>
      </c>
    </row>
    <row r="151" spans="1:17" x14ac:dyDescent="0.25">
      <c r="A151" s="1"/>
      <c r="B151" s="3" t="s">
        <v>165</v>
      </c>
      <c r="C151" s="1">
        <f t="shared" ca="1" si="74"/>
        <v>1</v>
      </c>
      <c r="D151" s="1" t="s">
        <v>82</v>
      </c>
      <c r="E151" s="1" t="s">
        <v>763</v>
      </c>
      <c r="F151" s="1"/>
      <c r="G151" s="1" t="s">
        <v>594</v>
      </c>
      <c r="H151" s="1" t="str">
        <f t="shared" ref="H151:H214" ca="1" si="75">IF(OR(I151="this",LEN(I151)&lt;2),B151,CONCATENATE(I151, UPPER(LEFT(B151,1)) &amp; RIGHT(B151,LEN(B151)-1) ))</f>
        <v>boneBlock</v>
      </c>
      <c r="I151" s="1" t="str">
        <f ca="1">IF(C151&lt;2,"this",IF(C151=C150,I150,IF(C151&gt;C150,H150, LOOKUP(1,0/(H$2:H150=I150),I$2:I151))))</f>
        <v>this</v>
      </c>
      <c r="J151" s="1" t="str">
        <f t="shared" si="71"/>
        <v>createMovieClipSub</v>
      </c>
      <c r="K151" s="1" t="str">
        <f t="shared" ref="K151:K214" si="76">B151</f>
        <v>boneBlock</v>
      </c>
      <c r="L151" s="1" t="str">
        <f t="shared" ref="L151:L214" si="77">B151</f>
        <v>boneBlock</v>
      </c>
      <c r="M151" s="1"/>
      <c r="N151" s="1"/>
      <c r="O151" s="1"/>
      <c r="P151" s="14" t="str">
        <f t="shared" ca="1" si="72"/>
        <v>MovieClipSub * boneBlock;</v>
      </c>
      <c r="Q151" s="14" t="str">
        <f t="shared" ca="1" si="73"/>
        <v>boneBlock= this-&gt;createMovieClipSub("boneBlock");</v>
      </c>
    </row>
    <row r="152" spans="1:17" x14ac:dyDescent="0.25">
      <c r="A152" s="1"/>
      <c r="B152" s="3" t="s">
        <v>166</v>
      </c>
      <c r="C152" s="1">
        <f t="shared" ca="1" si="74"/>
        <v>1</v>
      </c>
      <c r="D152" s="1" t="s">
        <v>82</v>
      </c>
      <c r="E152" s="1" t="s">
        <v>763</v>
      </c>
      <c r="F152" s="1"/>
      <c r="G152" s="1" t="s">
        <v>594</v>
      </c>
      <c r="H152" s="1" t="str">
        <f t="shared" ca="1" si="75"/>
        <v>selectTower</v>
      </c>
      <c r="I152" s="1" t="str">
        <f ca="1">IF(C152&lt;2,"this",IF(C152=C151,I151,IF(C152&gt;C151,H151, LOOKUP(1,0/(H$2:H151=I151),I$2:I152))))</f>
        <v>this</v>
      </c>
      <c r="J152" s="1" t="str">
        <f t="shared" si="71"/>
        <v>createMovieClipSub</v>
      </c>
      <c r="K152" s="1" t="str">
        <f t="shared" si="76"/>
        <v>selectTower</v>
      </c>
      <c r="L152" s="1" t="str">
        <f t="shared" si="77"/>
        <v>selectTower</v>
      </c>
      <c r="M152" s="1"/>
      <c r="N152" s="1"/>
      <c r="O152" s="1"/>
      <c r="P152" s="14" t="str">
        <f t="shared" ca="1" si="72"/>
        <v>MovieClipSub * selectTower;</v>
      </c>
      <c r="Q152" s="14" t="str">
        <f t="shared" ca="1" si="73"/>
        <v>selectTower= this-&gt;createMovieClipSub("selectTower");</v>
      </c>
    </row>
    <row r="153" spans="1:17" x14ac:dyDescent="0.25">
      <c r="A153" s="1"/>
      <c r="B153" s="3" t="s">
        <v>167</v>
      </c>
      <c r="C153" s="1">
        <f t="shared" ca="1" si="74"/>
        <v>1</v>
      </c>
      <c r="D153" s="1" t="s">
        <v>82</v>
      </c>
      <c r="E153" s="1" t="s">
        <v>763</v>
      </c>
      <c r="F153" s="1"/>
      <c r="G153" s="1" t="s">
        <v>682</v>
      </c>
      <c r="H153" s="1" t="str">
        <f t="shared" ca="1" si="75"/>
        <v>towerCase</v>
      </c>
      <c r="I153" s="1" t="str">
        <f ca="1">IF(C153&lt;2,"this",IF(C153=C152,I152,IF(C153&gt;C152,H152, LOOKUP(1,0/(H$2:H152=I152),I$2:I153))))</f>
        <v>this</v>
      </c>
      <c r="J153" s="1" t="str">
        <f t="shared" si="71"/>
        <v>createCase</v>
      </c>
      <c r="K153" s="1" t="str">
        <f t="shared" si="76"/>
        <v>towerCase</v>
      </c>
      <c r="L153" s="1" t="str">
        <f t="shared" si="77"/>
        <v>towerCase</v>
      </c>
      <c r="M153" s="1"/>
      <c r="N153" s="1"/>
      <c r="O153" s="1"/>
      <c r="P153" s="14" t="str">
        <f t="shared" ca="1" si="72"/>
        <v>MCCase * towerCase;</v>
      </c>
      <c r="Q153" s="14" t="str">
        <f t="shared" ca="1" si="73"/>
        <v>towerCase= this-&gt;createCase("towerCase");</v>
      </c>
    </row>
    <row r="154" spans="1:17" x14ac:dyDescent="0.25">
      <c r="A154" s="1"/>
      <c r="B154" s="3" t="s">
        <v>113</v>
      </c>
      <c r="C154" s="1">
        <f t="shared" ca="1" si="74"/>
        <v>1</v>
      </c>
      <c r="D154" s="1" t="s">
        <v>82</v>
      </c>
      <c r="E154" s="1" t="s">
        <v>763</v>
      </c>
      <c r="F154" s="1"/>
      <c r="G154" s="1" t="s">
        <v>594</v>
      </c>
      <c r="H154" s="1" t="str">
        <f t="shared" ca="1" si="75"/>
        <v>sphere1</v>
      </c>
      <c r="I154" s="1" t="str">
        <f ca="1">IF(C154&lt;2,"this",IF(C154=C153,I153,IF(C154&gt;C153,H153, LOOKUP(1,0/(H$2:H153=I153),I$2:I154))))</f>
        <v>this</v>
      </c>
      <c r="J154" s="1" t="str">
        <f t="shared" si="71"/>
        <v>createMovieClipSub</v>
      </c>
      <c r="K154" s="1" t="str">
        <f t="shared" si="76"/>
        <v>sphere1</v>
      </c>
      <c r="L154" s="1" t="str">
        <f t="shared" si="77"/>
        <v>sphere1</v>
      </c>
      <c r="M154" s="1"/>
      <c r="N154" s="1"/>
      <c r="O154" s="1"/>
      <c r="P154" s="14" t="str">
        <f t="shared" ca="1" si="72"/>
        <v>MovieClipSub * sphere1;</v>
      </c>
      <c r="Q154" s="14" t="str">
        <f t="shared" ca="1" si="73"/>
        <v>sphere1= this-&gt;createMovieClipSub("sphere1");</v>
      </c>
    </row>
    <row r="155" spans="1:17" x14ac:dyDescent="0.25">
      <c r="A155" s="1"/>
      <c r="B155" s="4" t="s">
        <v>212</v>
      </c>
      <c r="C155" s="1">
        <f t="shared" ca="1" si="74"/>
        <v>2</v>
      </c>
      <c r="D155" s="1" t="s">
        <v>82</v>
      </c>
      <c r="E155" s="1" t="s">
        <v>763</v>
      </c>
      <c r="F155" s="1"/>
      <c r="G155" s="1" t="s">
        <v>594</v>
      </c>
      <c r="H155" s="1" t="str">
        <f t="shared" ca="1" si="75"/>
        <v>sphere1Bullet</v>
      </c>
      <c r="I155" s="1" t="str">
        <f ca="1">IF(C155&lt;2,"this",IF(C155=C154,I154,IF(C155&gt;C154,H154, LOOKUP(1,0/(H$2:H154=I154),I$2:I155))))</f>
        <v>sphere1</v>
      </c>
      <c r="J155" s="1" t="str">
        <f t="shared" si="71"/>
        <v>createMovieClipSub</v>
      </c>
      <c r="K155" s="1" t="str">
        <f t="shared" si="76"/>
        <v>bullet</v>
      </c>
      <c r="L155" s="1" t="str">
        <f t="shared" si="77"/>
        <v>bullet</v>
      </c>
      <c r="M155" s="1"/>
      <c r="N155" s="1"/>
      <c r="O155" s="1"/>
      <c r="P155" s="14" t="str">
        <f t="shared" ca="1" si="72"/>
        <v>MovieClipSub * sphere1Bullet;</v>
      </c>
      <c r="Q155" s="14" t="str">
        <f t="shared" ca="1" si="73"/>
        <v>sphere1Bullet= sphere1-&gt;createMovieClipSub("bullet");</v>
      </c>
    </row>
    <row r="156" spans="1:17" x14ac:dyDescent="0.25">
      <c r="A156" s="1"/>
      <c r="B156" s="5" t="s">
        <v>84</v>
      </c>
      <c r="C156" s="1">
        <f t="shared" ca="1" si="74"/>
        <v>3</v>
      </c>
      <c r="D156" s="1" t="s">
        <v>82</v>
      </c>
      <c r="E156" s="1" t="s">
        <v>763</v>
      </c>
      <c r="F156" s="1"/>
      <c r="G156" s="1" t="s">
        <v>594</v>
      </c>
      <c r="H156" s="1" t="str">
        <f t="shared" ca="1" si="75"/>
        <v>sphere1BulletCont</v>
      </c>
      <c r="I156" s="1" t="str">
        <f ca="1">IF(C156&lt;2,"this",IF(C156=C155,I155,IF(C156&gt;C155,H155, LOOKUP(1,0/(H$2:H155=I155),I$2:I156))))</f>
        <v>sphere1Bullet</v>
      </c>
      <c r="J156" s="1" t="str">
        <f t="shared" si="71"/>
        <v>createMovieClipSub</v>
      </c>
      <c r="K156" s="1" t="str">
        <f t="shared" si="76"/>
        <v>cont</v>
      </c>
      <c r="L156" s="1" t="str">
        <f t="shared" si="77"/>
        <v>cont</v>
      </c>
      <c r="M156" s="1"/>
      <c r="N156" s="1"/>
      <c r="O156" s="1"/>
      <c r="P156" s="14" t="str">
        <f t="shared" ca="1" si="72"/>
        <v>MovieClipSub * sphere1BulletCont;</v>
      </c>
      <c r="Q156" s="14" t="str">
        <f t="shared" ca="1" si="73"/>
        <v>sphere1BulletCont= sphere1Bullet-&gt;createMovieClipSub("cont");</v>
      </c>
    </row>
    <row r="157" spans="1:17" x14ac:dyDescent="0.25">
      <c r="A157" s="1"/>
      <c r="B157" s="3" t="s">
        <v>170</v>
      </c>
      <c r="C157" s="1">
        <f t="shared" ca="1" si="74"/>
        <v>1</v>
      </c>
      <c r="D157" s="1" t="s">
        <v>82</v>
      </c>
      <c r="E157" s="1" t="s">
        <v>763</v>
      </c>
      <c r="F157" s="1"/>
      <c r="G157" s="1" t="s">
        <v>594</v>
      </c>
      <c r="H157" s="1" t="str">
        <f t="shared" ca="1" si="75"/>
        <v>sphere2_1</v>
      </c>
      <c r="I157" s="1" t="str">
        <f ca="1">IF(C157&lt;2,"this",IF(C157=C156,I156,IF(C157&gt;C156,H156, LOOKUP(1,0/(H$2:H156=I156),I$2:I157))))</f>
        <v>this</v>
      </c>
      <c r="J157" s="1" t="str">
        <f t="shared" si="71"/>
        <v>createMovieClipSub</v>
      </c>
      <c r="K157" s="1" t="str">
        <f t="shared" si="76"/>
        <v>sphere2_1</v>
      </c>
      <c r="L157" s="1" t="str">
        <f t="shared" si="77"/>
        <v>sphere2_1</v>
      </c>
      <c r="M157" s="1"/>
      <c r="N157" s="1"/>
      <c r="O157" s="1"/>
      <c r="P157" s="14" t="str">
        <f t="shared" ca="1" si="72"/>
        <v>MovieClipSub * sphere2_1;</v>
      </c>
      <c r="Q157" s="14" t="str">
        <f t="shared" ca="1" si="73"/>
        <v>sphere2_1= this-&gt;createMovieClipSub("sphere2_1");</v>
      </c>
    </row>
    <row r="158" spans="1:17" x14ac:dyDescent="0.25">
      <c r="A158" s="1"/>
      <c r="B158" s="4" t="s">
        <v>212</v>
      </c>
      <c r="C158" s="1">
        <f t="shared" ca="1" si="74"/>
        <v>2</v>
      </c>
      <c r="D158" s="1" t="s">
        <v>82</v>
      </c>
      <c r="E158" s="1" t="s">
        <v>763</v>
      </c>
      <c r="F158" s="1"/>
      <c r="G158" s="1" t="s">
        <v>594</v>
      </c>
      <c r="H158" s="1" t="str">
        <f t="shared" ca="1" si="75"/>
        <v>sphere2_1Bullet</v>
      </c>
      <c r="I158" s="1" t="str">
        <f ca="1">IF(C158&lt;2,"this",IF(C158=C157,I157,IF(C158&gt;C157,H157, LOOKUP(1,0/(H$2:H157=I157),I$2:I158))))</f>
        <v>sphere2_1</v>
      </c>
      <c r="J158" s="1" t="str">
        <f t="shared" si="71"/>
        <v>createMovieClipSub</v>
      </c>
      <c r="K158" s="1" t="str">
        <f t="shared" si="76"/>
        <v>bullet</v>
      </c>
      <c r="L158" s="1" t="str">
        <f t="shared" si="77"/>
        <v>bullet</v>
      </c>
      <c r="M158" s="1"/>
      <c r="N158" s="1"/>
      <c r="O158" s="1"/>
      <c r="P158" s="14" t="str">
        <f t="shared" ca="1" si="72"/>
        <v>MovieClipSub * sphere2_1Bullet;</v>
      </c>
      <c r="Q158" s="14" t="str">
        <f t="shared" ca="1" si="73"/>
        <v>sphere2_1Bullet= sphere2_1-&gt;createMovieClipSub("bullet");</v>
      </c>
    </row>
    <row r="159" spans="1:17" x14ac:dyDescent="0.25">
      <c r="A159" s="1"/>
      <c r="B159" s="5" t="s">
        <v>84</v>
      </c>
      <c r="C159" s="1">
        <f t="shared" ca="1" si="74"/>
        <v>3</v>
      </c>
      <c r="D159" s="1" t="s">
        <v>82</v>
      </c>
      <c r="E159" s="1" t="s">
        <v>763</v>
      </c>
      <c r="F159" s="1"/>
      <c r="G159" s="1" t="s">
        <v>594</v>
      </c>
      <c r="H159" s="1" t="str">
        <f t="shared" ca="1" si="75"/>
        <v>sphere2_1BulletCont</v>
      </c>
      <c r="I159" s="1" t="str">
        <f ca="1">IF(C159&lt;2,"this",IF(C159=C158,I158,IF(C159&gt;C158,H158, LOOKUP(1,0/(H$2:H158=I158),I$2:I159))))</f>
        <v>sphere2_1Bullet</v>
      </c>
      <c r="J159" s="1" t="str">
        <f t="shared" si="71"/>
        <v>createMovieClipSub</v>
      </c>
      <c r="K159" s="1" t="str">
        <f t="shared" si="76"/>
        <v>cont</v>
      </c>
      <c r="L159" s="1" t="str">
        <f t="shared" si="77"/>
        <v>cont</v>
      </c>
      <c r="M159" s="1"/>
      <c r="N159" s="1"/>
      <c r="O159" s="1"/>
      <c r="P159" s="14" t="str">
        <f t="shared" ca="1" si="72"/>
        <v>MovieClipSub * sphere2_1BulletCont;</v>
      </c>
      <c r="Q159" s="14" t="str">
        <f t="shared" ca="1" si="73"/>
        <v>sphere2_1BulletCont= sphere2_1Bullet-&gt;createMovieClipSub("cont");</v>
      </c>
    </row>
    <row r="160" spans="1:17" x14ac:dyDescent="0.25">
      <c r="A160" s="1"/>
      <c r="B160" s="3" t="s">
        <v>171</v>
      </c>
      <c r="C160" s="1">
        <f t="shared" ca="1" si="74"/>
        <v>1</v>
      </c>
      <c r="D160" s="1" t="s">
        <v>82</v>
      </c>
      <c r="E160" s="1" t="s">
        <v>763</v>
      </c>
      <c r="F160" s="1"/>
      <c r="G160" s="1" t="s">
        <v>594</v>
      </c>
      <c r="H160" s="1" t="str">
        <f t="shared" ca="1" si="75"/>
        <v>sphere2_2</v>
      </c>
      <c r="I160" s="1" t="str">
        <f ca="1">IF(C160&lt;2,"this",IF(C160=C159,I159,IF(C160&gt;C159,H159, LOOKUP(1,0/(H$2:H159=I159),I$2:I160))))</f>
        <v>this</v>
      </c>
      <c r="J160" s="1" t="str">
        <f t="shared" si="71"/>
        <v>createMovieClipSub</v>
      </c>
      <c r="K160" s="1" t="str">
        <f t="shared" si="76"/>
        <v>sphere2_2</v>
      </c>
      <c r="L160" s="1" t="str">
        <f t="shared" si="77"/>
        <v>sphere2_2</v>
      </c>
      <c r="M160" s="1"/>
      <c r="N160" s="1"/>
      <c r="O160" s="1"/>
      <c r="P160" s="14" t="str">
        <f t="shared" ca="1" si="72"/>
        <v>MovieClipSub * sphere2_2;</v>
      </c>
      <c r="Q160" s="14" t="str">
        <f t="shared" ca="1" si="73"/>
        <v>sphere2_2= this-&gt;createMovieClipSub("sphere2_2");</v>
      </c>
    </row>
    <row r="161" spans="1:17" x14ac:dyDescent="0.25">
      <c r="A161" s="1"/>
      <c r="B161" s="4" t="s">
        <v>212</v>
      </c>
      <c r="C161" s="1">
        <f t="shared" ca="1" si="74"/>
        <v>2</v>
      </c>
      <c r="D161" s="1" t="s">
        <v>82</v>
      </c>
      <c r="E161" s="1" t="s">
        <v>763</v>
      </c>
      <c r="F161" s="1"/>
      <c r="G161" s="1" t="s">
        <v>594</v>
      </c>
      <c r="H161" s="1" t="str">
        <f t="shared" ca="1" si="75"/>
        <v>sphere2_2Bullet</v>
      </c>
      <c r="I161" s="1" t="str">
        <f ca="1">IF(C161&lt;2,"this",IF(C161=C160,I160,IF(C161&gt;C160,H160, LOOKUP(1,0/(H$2:H160=I160),I$2:I161))))</f>
        <v>sphere2_2</v>
      </c>
      <c r="J161" s="1" t="str">
        <f t="shared" si="71"/>
        <v>createMovieClipSub</v>
      </c>
      <c r="K161" s="1" t="str">
        <f t="shared" si="76"/>
        <v>bullet</v>
      </c>
      <c r="L161" s="1" t="str">
        <f t="shared" si="77"/>
        <v>bullet</v>
      </c>
      <c r="M161" s="1"/>
      <c r="N161" s="1"/>
      <c r="O161" s="1"/>
      <c r="P161" s="14" t="str">
        <f t="shared" ca="1" si="72"/>
        <v>MovieClipSub * sphere2_2Bullet;</v>
      </c>
      <c r="Q161" s="14" t="str">
        <f t="shared" ca="1" si="73"/>
        <v>sphere2_2Bullet= sphere2_2-&gt;createMovieClipSub("bullet");</v>
      </c>
    </row>
    <row r="162" spans="1:17" x14ac:dyDescent="0.25">
      <c r="A162" s="1"/>
      <c r="B162" s="5" t="s">
        <v>84</v>
      </c>
      <c r="C162" s="1">
        <f t="shared" ca="1" si="74"/>
        <v>3</v>
      </c>
      <c r="D162" s="1" t="s">
        <v>82</v>
      </c>
      <c r="E162" s="1" t="s">
        <v>763</v>
      </c>
      <c r="F162" s="1"/>
      <c r="G162" s="1" t="s">
        <v>594</v>
      </c>
      <c r="H162" s="1" t="str">
        <f t="shared" ca="1" si="75"/>
        <v>sphere2_2BulletCont</v>
      </c>
      <c r="I162" s="1" t="str">
        <f ca="1">IF(C162&lt;2,"this",IF(C162=C161,I161,IF(C162&gt;C161,H161, LOOKUP(1,0/(H$2:H161=I161),I$2:I162))))</f>
        <v>sphere2_2Bullet</v>
      </c>
      <c r="J162" s="1" t="str">
        <f t="shared" si="71"/>
        <v>createMovieClipSub</v>
      </c>
      <c r="K162" s="1" t="str">
        <f t="shared" si="76"/>
        <v>cont</v>
      </c>
      <c r="L162" s="1" t="str">
        <f t="shared" si="77"/>
        <v>cont</v>
      </c>
      <c r="M162" s="1"/>
      <c r="N162" s="1"/>
      <c r="O162" s="1"/>
      <c r="P162" s="14" t="str">
        <f t="shared" ca="1" si="72"/>
        <v>MovieClipSub * sphere2_2BulletCont;</v>
      </c>
      <c r="Q162" s="14" t="str">
        <f t="shared" ca="1" si="73"/>
        <v>sphere2_2BulletCont= sphere2_2Bullet-&gt;createMovieClipSub("cont");</v>
      </c>
    </row>
    <row r="163" spans="1:17" x14ac:dyDescent="0.25">
      <c r="A163" s="1"/>
      <c r="B163" s="3" t="s">
        <v>174</v>
      </c>
      <c r="C163" s="1">
        <f t="shared" ca="1" si="74"/>
        <v>1</v>
      </c>
      <c r="D163" s="1" t="s">
        <v>82</v>
      </c>
      <c r="E163" s="1" t="s">
        <v>763</v>
      </c>
      <c r="F163" s="1"/>
      <c r="G163" s="1" t="s">
        <v>594</v>
      </c>
      <c r="H163" s="1" t="str">
        <f t="shared" ca="1" si="75"/>
        <v>sphere3_1</v>
      </c>
      <c r="I163" s="1" t="str">
        <f ca="1">IF(C163&lt;2,"this",IF(C163=C162,I162,IF(C163&gt;C162,H162, LOOKUP(1,0/(H$2:H162=I162),I$2:I163))))</f>
        <v>this</v>
      </c>
      <c r="J163" s="1" t="str">
        <f t="shared" si="71"/>
        <v>createMovieClipSub</v>
      </c>
      <c r="K163" s="1" t="str">
        <f t="shared" si="76"/>
        <v>sphere3_1</v>
      </c>
      <c r="L163" s="1" t="str">
        <f t="shared" si="77"/>
        <v>sphere3_1</v>
      </c>
      <c r="M163" s="1"/>
      <c r="N163" s="1"/>
      <c r="O163" s="1"/>
      <c r="P163" s="14" t="str">
        <f t="shared" ca="1" si="72"/>
        <v>MovieClipSub * sphere3_1;</v>
      </c>
      <c r="Q163" s="14" t="str">
        <f t="shared" ca="1" si="73"/>
        <v>sphere3_1= this-&gt;createMovieClipSub("sphere3_1");</v>
      </c>
    </row>
    <row r="164" spans="1:17" x14ac:dyDescent="0.25">
      <c r="A164" s="1"/>
      <c r="B164" s="4" t="s">
        <v>212</v>
      </c>
      <c r="C164" s="1">
        <f t="shared" ca="1" si="74"/>
        <v>2</v>
      </c>
      <c r="D164" s="1" t="s">
        <v>82</v>
      </c>
      <c r="E164" s="1" t="s">
        <v>763</v>
      </c>
      <c r="F164" s="1"/>
      <c r="G164" s="1" t="s">
        <v>594</v>
      </c>
      <c r="H164" s="1" t="str">
        <f t="shared" ca="1" si="75"/>
        <v>sphere3_1Bullet</v>
      </c>
      <c r="I164" s="1" t="str">
        <f ca="1">IF(C164&lt;2,"this",IF(C164=C163,I163,IF(C164&gt;C163,H163, LOOKUP(1,0/(H$2:H163=I163),I$2:I164))))</f>
        <v>sphere3_1</v>
      </c>
      <c r="J164" s="1" t="str">
        <f t="shared" si="71"/>
        <v>createMovieClipSub</v>
      </c>
      <c r="K164" s="1" t="str">
        <f t="shared" si="76"/>
        <v>bullet</v>
      </c>
      <c r="L164" s="1" t="str">
        <f t="shared" si="77"/>
        <v>bullet</v>
      </c>
      <c r="M164" s="1"/>
      <c r="N164" s="1"/>
      <c r="O164" s="1"/>
      <c r="P164" s="14" t="str">
        <f t="shared" ca="1" si="72"/>
        <v>MovieClipSub * sphere3_1Bullet;</v>
      </c>
      <c r="Q164" s="14" t="str">
        <f t="shared" ca="1" si="73"/>
        <v>sphere3_1Bullet= sphere3_1-&gt;createMovieClipSub("bullet");</v>
      </c>
    </row>
    <row r="165" spans="1:17" x14ac:dyDescent="0.25">
      <c r="A165" s="1"/>
      <c r="B165" s="5" t="s">
        <v>84</v>
      </c>
      <c r="C165" s="1">
        <f t="shared" ca="1" si="74"/>
        <v>3</v>
      </c>
      <c r="D165" s="1" t="s">
        <v>82</v>
      </c>
      <c r="E165" s="1" t="s">
        <v>763</v>
      </c>
      <c r="F165" s="1"/>
      <c r="G165" s="1" t="s">
        <v>594</v>
      </c>
      <c r="H165" s="1" t="str">
        <f t="shared" ca="1" si="75"/>
        <v>sphere3_1BulletCont</v>
      </c>
      <c r="I165" s="1" t="str">
        <f ca="1">IF(C165&lt;2,"this",IF(C165=C164,I164,IF(C165&gt;C164,H164, LOOKUP(1,0/(H$2:H164=I164),I$2:I165))))</f>
        <v>sphere3_1Bullet</v>
      </c>
      <c r="J165" s="1" t="str">
        <f t="shared" si="71"/>
        <v>createMovieClipSub</v>
      </c>
      <c r="K165" s="1" t="str">
        <f t="shared" si="76"/>
        <v>cont</v>
      </c>
      <c r="L165" s="1" t="str">
        <f t="shared" si="77"/>
        <v>cont</v>
      </c>
      <c r="M165" s="1"/>
      <c r="N165" s="1"/>
      <c r="O165" s="1"/>
      <c r="P165" s="14" t="str">
        <f t="shared" ca="1" si="72"/>
        <v>MovieClipSub * sphere3_1BulletCont;</v>
      </c>
      <c r="Q165" s="14" t="str">
        <f t="shared" ca="1" si="73"/>
        <v>sphere3_1BulletCont= sphere3_1Bullet-&gt;createMovieClipSub("cont");</v>
      </c>
    </row>
    <row r="166" spans="1:17" x14ac:dyDescent="0.25">
      <c r="A166" s="1"/>
      <c r="B166" s="3" t="s">
        <v>175</v>
      </c>
      <c r="C166" s="1">
        <f t="shared" ca="1" si="74"/>
        <v>1</v>
      </c>
      <c r="D166" s="1" t="s">
        <v>82</v>
      </c>
      <c r="E166" s="1" t="s">
        <v>763</v>
      </c>
      <c r="F166" s="1"/>
      <c r="G166" s="1" t="s">
        <v>594</v>
      </c>
      <c r="H166" s="1" t="str">
        <f t="shared" ca="1" si="75"/>
        <v>sphere3_2</v>
      </c>
      <c r="I166" s="1" t="str">
        <f ca="1">IF(C166&lt;2,"this",IF(C166=C165,I165,IF(C166&gt;C165,H165, LOOKUP(1,0/(H$2:H165=I165),I$2:I166))))</f>
        <v>this</v>
      </c>
      <c r="J166" s="1" t="str">
        <f t="shared" si="71"/>
        <v>createMovieClipSub</v>
      </c>
      <c r="K166" s="1" t="str">
        <f t="shared" si="76"/>
        <v>sphere3_2</v>
      </c>
      <c r="L166" s="1" t="str">
        <f t="shared" si="77"/>
        <v>sphere3_2</v>
      </c>
      <c r="M166" s="1"/>
      <c r="N166" s="1"/>
      <c r="O166" s="1"/>
      <c r="P166" s="14" t="str">
        <f t="shared" ca="1" si="72"/>
        <v>MovieClipSub * sphere3_2;</v>
      </c>
      <c r="Q166" s="14" t="str">
        <f t="shared" ca="1" si="73"/>
        <v>sphere3_2= this-&gt;createMovieClipSub("sphere3_2");</v>
      </c>
    </row>
    <row r="167" spans="1:17" x14ac:dyDescent="0.25">
      <c r="A167" s="1"/>
      <c r="B167" s="4" t="s">
        <v>212</v>
      </c>
      <c r="C167" s="1">
        <f t="shared" ca="1" si="74"/>
        <v>2</v>
      </c>
      <c r="D167" s="1" t="s">
        <v>82</v>
      </c>
      <c r="E167" s="1" t="s">
        <v>763</v>
      </c>
      <c r="F167" s="1"/>
      <c r="G167" s="1" t="s">
        <v>594</v>
      </c>
      <c r="H167" s="1" t="str">
        <f t="shared" ca="1" si="75"/>
        <v>sphere3_2Bullet</v>
      </c>
      <c r="I167" s="1" t="str">
        <f ca="1">IF(C167&lt;2,"this",IF(C167=C166,I166,IF(C167&gt;C166,H166, LOOKUP(1,0/(H$2:H166=I166),I$2:I167))))</f>
        <v>sphere3_2</v>
      </c>
      <c r="J167" s="1" t="str">
        <f t="shared" si="71"/>
        <v>createMovieClipSub</v>
      </c>
      <c r="K167" s="1" t="str">
        <f t="shared" si="76"/>
        <v>bullet</v>
      </c>
      <c r="L167" s="1" t="str">
        <f t="shared" si="77"/>
        <v>bullet</v>
      </c>
      <c r="M167" s="1"/>
      <c r="N167" s="1"/>
      <c r="O167" s="1"/>
      <c r="P167" s="14" t="str">
        <f t="shared" ca="1" si="72"/>
        <v>MovieClipSub * sphere3_2Bullet;</v>
      </c>
      <c r="Q167" s="14" t="str">
        <f t="shared" ca="1" si="73"/>
        <v>sphere3_2Bullet= sphere3_2-&gt;createMovieClipSub("bullet");</v>
      </c>
    </row>
    <row r="168" spans="1:17" x14ac:dyDescent="0.25">
      <c r="A168" s="1"/>
      <c r="B168" s="5" t="s">
        <v>84</v>
      </c>
      <c r="C168" s="1">
        <f t="shared" ca="1" si="74"/>
        <v>3</v>
      </c>
      <c r="D168" s="1" t="s">
        <v>82</v>
      </c>
      <c r="E168" s="1" t="s">
        <v>763</v>
      </c>
      <c r="F168" s="1"/>
      <c r="G168" s="1" t="s">
        <v>594</v>
      </c>
      <c r="H168" s="1" t="str">
        <f t="shared" ca="1" si="75"/>
        <v>sphere3_2BulletCont</v>
      </c>
      <c r="I168" s="1" t="str">
        <f ca="1">IF(C168&lt;2,"this",IF(C168=C167,I167,IF(C168&gt;C167,H167, LOOKUP(1,0/(H$2:H167=I167),I$2:I168))))</f>
        <v>sphere3_2Bullet</v>
      </c>
      <c r="J168" s="1" t="str">
        <f t="shared" si="71"/>
        <v>createMovieClipSub</v>
      </c>
      <c r="K168" s="1" t="str">
        <f t="shared" si="76"/>
        <v>cont</v>
      </c>
      <c r="L168" s="1" t="str">
        <f t="shared" si="77"/>
        <v>cont</v>
      </c>
      <c r="M168" s="1"/>
      <c r="N168" s="1"/>
      <c r="O168" s="1"/>
      <c r="P168" s="14" t="str">
        <f t="shared" ca="1" si="72"/>
        <v>MovieClipSub * sphere3_2BulletCont;</v>
      </c>
      <c r="Q168" s="14" t="str">
        <f t="shared" ca="1" si="73"/>
        <v>sphere3_2BulletCont= sphere3_2Bullet-&gt;createMovieClipSub("cont");</v>
      </c>
    </row>
    <row r="169" spans="1:17" x14ac:dyDescent="0.25">
      <c r="A169" s="1"/>
      <c r="B169" s="3" t="s">
        <v>176</v>
      </c>
      <c r="C169" s="1">
        <f t="shared" ca="1" si="74"/>
        <v>1</v>
      </c>
      <c r="D169" s="1" t="s">
        <v>82</v>
      </c>
      <c r="E169" s="1" t="s">
        <v>763</v>
      </c>
      <c r="F169" s="1"/>
      <c r="G169" s="1" t="s">
        <v>594</v>
      </c>
      <c r="H169" s="1" t="str">
        <f t="shared" ca="1" si="75"/>
        <v>sphere3_3</v>
      </c>
      <c r="I169" s="1" t="str">
        <f ca="1">IF(C169&lt;2,"this",IF(C169=C168,I168,IF(C169&gt;C168,H168, LOOKUP(1,0/(H$2:H168=I168),I$2:I169))))</f>
        <v>this</v>
      </c>
      <c r="J169" s="1" t="str">
        <f t="shared" si="71"/>
        <v>createMovieClipSub</v>
      </c>
      <c r="K169" s="1" t="str">
        <f t="shared" si="76"/>
        <v>sphere3_3</v>
      </c>
      <c r="L169" s="1" t="str">
        <f t="shared" si="77"/>
        <v>sphere3_3</v>
      </c>
      <c r="M169" s="1"/>
      <c r="N169" s="1"/>
      <c r="O169" s="1"/>
      <c r="P169" s="14" t="str">
        <f t="shared" ca="1" si="72"/>
        <v>MovieClipSub * sphere3_3;</v>
      </c>
      <c r="Q169" s="14" t="str">
        <f t="shared" ca="1" si="73"/>
        <v>sphere3_3= this-&gt;createMovieClipSub("sphere3_3");</v>
      </c>
    </row>
    <row r="170" spans="1:17" x14ac:dyDescent="0.25">
      <c r="A170" s="1"/>
      <c r="B170" s="4" t="s">
        <v>212</v>
      </c>
      <c r="C170" s="1">
        <f t="shared" ca="1" si="74"/>
        <v>2</v>
      </c>
      <c r="D170" s="1" t="s">
        <v>82</v>
      </c>
      <c r="E170" s="1" t="s">
        <v>763</v>
      </c>
      <c r="F170" s="1"/>
      <c r="G170" s="1" t="s">
        <v>594</v>
      </c>
      <c r="H170" s="1" t="str">
        <f t="shared" ca="1" si="75"/>
        <v>sphere3_3Bullet</v>
      </c>
      <c r="I170" s="1" t="str">
        <f ca="1">IF(C170&lt;2,"this",IF(C170=C169,I169,IF(C170&gt;C169,H169, LOOKUP(1,0/(H$2:H169=I169),I$2:I170))))</f>
        <v>sphere3_3</v>
      </c>
      <c r="J170" s="1" t="str">
        <f t="shared" si="71"/>
        <v>createMovieClipSub</v>
      </c>
      <c r="K170" s="1" t="str">
        <f t="shared" si="76"/>
        <v>bullet</v>
      </c>
      <c r="L170" s="1" t="str">
        <f t="shared" si="77"/>
        <v>bullet</v>
      </c>
      <c r="M170" s="1"/>
      <c r="N170" s="1"/>
      <c r="O170" s="1"/>
      <c r="P170" s="14" t="str">
        <f t="shared" ca="1" si="72"/>
        <v>MovieClipSub * sphere3_3Bullet;</v>
      </c>
      <c r="Q170" s="14" t="str">
        <f t="shared" ca="1" si="73"/>
        <v>sphere3_3Bullet= sphere3_3-&gt;createMovieClipSub("bullet");</v>
      </c>
    </row>
    <row r="171" spans="1:17" x14ac:dyDescent="0.25">
      <c r="A171" s="1"/>
      <c r="B171" s="5" t="s">
        <v>84</v>
      </c>
      <c r="C171" s="1">
        <f t="shared" ca="1" si="74"/>
        <v>3</v>
      </c>
      <c r="D171" s="1" t="s">
        <v>82</v>
      </c>
      <c r="E171" s="1" t="s">
        <v>763</v>
      </c>
      <c r="F171" s="1"/>
      <c r="G171" s="1" t="s">
        <v>594</v>
      </c>
      <c r="H171" s="1" t="str">
        <f t="shared" ca="1" si="75"/>
        <v>sphere3_3BulletCont</v>
      </c>
      <c r="I171" s="1" t="str">
        <f ca="1">IF(C171&lt;2,"this",IF(C171=C170,I170,IF(C171&gt;C170,H170, LOOKUP(1,0/(H$2:H170=I170),I$2:I171))))</f>
        <v>sphere3_3Bullet</v>
      </c>
      <c r="J171" s="1" t="str">
        <f t="shared" si="71"/>
        <v>createMovieClipSub</v>
      </c>
      <c r="K171" s="1" t="str">
        <f t="shared" si="76"/>
        <v>cont</v>
      </c>
      <c r="L171" s="1" t="str">
        <f t="shared" si="77"/>
        <v>cont</v>
      </c>
      <c r="M171" s="1"/>
      <c r="N171" s="1"/>
      <c r="O171" s="1"/>
      <c r="P171" s="14" t="str">
        <f t="shared" ca="1" si="72"/>
        <v>MovieClipSub * sphere3_3BulletCont;</v>
      </c>
      <c r="Q171" s="14" t="str">
        <f t="shared" ca="1" si="73"/>
        <v>sphere3_3BulletCont= sphere3_3Bullet-&gt;createMovieClipSub("cont");</v>
      </c>
    </row>
    <row r="172" spans="1:17" x14ac:dyDescent="0.25">
      <c r="A172" s="1"/>
      <c r="B172" s="3" t="s">
        <v>179</v>
      </c>
      <c r="C172" s="1">
        <f t="shared" ca="1" si="74"/>
        <v>1</v>
      </c>
      <c r="D172" s="1" t="s">
        <v>82</v>
      </c>
      <c r="E172" s="1" t="s">
        <v>763</v>
      </c>
      <c r="F172" s="1"/>
      <c r="G172" s="1" t="s">
        <v>594</v>
      </c>
      <c r="H172" s="1" t="str">
        <f t="shared" ca="1" si="75"/>
        <v>sphere4_1</v>
      </c>
      <c r="I172" s="1" t="str">
        <f ca="1">IF(C172&lt;2,"this",IF(C172=C171,I171,IF(C172&gt;C171,H171, LOOKUP(1,0/(H$2:H171=I171),I$2:I172))))</f>
        <v>this</v>
      </c>
      <c r="J172" s="1" t="str">
        <f t="shared" si="71"/>
        <v>createMovieClipSub</v>
      </c>
      <c r="K172" s="1" t="str">
        <f t="shared" si="76"/>
        <v>sphere4_1</v>
      </c>
      <c r="L172" s="1" t="str">
        <f t="shared" si="77"/>
        <v>sphere4_1</v>
      </c>
      <c r="M172" s="1"/>
      <c r="N172" s="1"/>
      <c r="O172" s="1"/>
      <c r="P172" s="14" t="str">
        <f t="shared" ca="1" si="72"/>
        <v>MovieClipSub * sphere4_1;</v>
      </c>
      <c r="Q172" s="14" t="str">
        <f t="shared" ca="1" si="73"/>
        <v>sphere4_1= this-&gt;createMovieClipSub("sphere4_1");</v>
      </c>
    </row>
    <row r="173" spans="1:17" x14ac:dyDescent="0.25">
      <c r="A173" s="1"/>
      <c r="B173" s="4" t="s">
        <v>212</v>
      </c>
      <c r="C173" s="1">
        <f t="shared" ca="1" si="74"/>
        <v>2</v>
      </c>
      <c r="D173" s="1" t="s">
        <v>82</v>
      </c>
      <c r="E173" s="1" t="s">
        <v>763</v>
      </c>
      <c r="F173" s="1"/>
      <c r="G173" s="1" t="s">
        <v>594</v>
      </c>
      <c r="H173" s="1" t="str">
        <f t="shared" ca="1" si="75"/>
        <v>sphere4_1Bullet</v>
      </c>
      <c r="I173" s="1" t="str">
        <f ca="1">IF(C173&lt;2,"this",IF(C173=C172,I172,IF(C173&gt;C172,H172, LOOKUP(1,0/(H$2:H172=I172),I$2:I173))))</f>
        <v>sphere4_1</v>
      </c>
      <c r="J173" s="1" t="str">
        <f t="shared" si="71"/>
        <v>createMovieClipSub</v>
      </c>
      <c r="K173" s="1" t="str">
        <f t="shared" si="76"/>
        <v>bullet</v>
      </c>
      <c r="L173" s="1" t="str">
        <f t="shared" si="77"/>
        <v>bullet</v>
      </c>
      <c r="M173" s="1"/>
      <c r="N173" s="1"/>
      <c r="O173" s="1"/>
      <c r="P173" s="14" t="str">
        <f t="shared" ca="1" si="72"/>
        <v>MovieClipSub * sphere4_1Bullet;</v>
      </c>
      <c r="Q173" s="14" t="str">
        <f t="shared" ca="1" si="73"/>
        <v>sphere4_1Bullet= sphere4_1-&gt;createMovieClipSub("bullet");</v>
      </c>
    </row>
    <row r="174" spans="1:17" x14ac:dyDescent="0.25">
      <c r="A174" s="1"/>
      <c r="B174" s="5" t="s">
        <v>84</v>
      </c>
      <c r="C174" s="1">
        <f t="shared" ca="1" si="74"/>
        <v>3</v>
      </c>
      <c r="D174" s="1" t="s">
        <v>82</v>
      </c>
      <c r="E174" s="1" t="s">
        <v>763</v>
      </c>
      <c r="F174" s="1"/>
      <c r="G174" s="1" t="s">
        <v>594</v>
      </c>
      <c r="H174" s="1" t="str">
        <f t="shared" ca="1" si="75"/>
        <v>sphere4_1BulletCont</v>
      </c>
      <c r="I174" s="1" t="str">
        <f ca="1">IF(C174&lt;2,"this",IF(C174=C173,I173,IF(C174&gt;C173,H173, LOOKUP(1,0/(H$2:H173=I173),I$2:I174))))</f>
        <v>sphere4_1Bullet</v>
      </c>
      <c r="J174" s="1" t="str">
        <f t="shared" si="71"/>
        <v>createMovieClipSub</v>
      </c>
      <c r="K174" s="1" t="str">
        <f t="shared" si="76"/>
        <v>cont</v>
      </c>
      <c r="L174" s="1" t="str">
        <f t="shared" si="77"/>
        <v>cont</v>
      </c>
      <c r="M174" s="1"/>
      <c r="N174" s="1"/>
      <c r="O174" s="1"/>
      <c r="P174" s="14" t="str">
        <f t="shared" ca="1" si="72"/>
        <v>MovieClipSub * sphere4_1BulletCont;</v>
      </c>
      <c r="Q174" s="14" t="str">
        <f t="shared" ca="1" si="73"/>
        <v>sphere4_1BulletCont= sphere4_1Bullet-&gt;createMovieClipSub("cont");</v>
      </c>
    </row>
    <row r="175" spans="1:17" x14ac:dyDescent="0.25">
      <c r="A175" s="1"/>
      <c r="B175" s="3" t="s">
        <v>180</v>
      </c>
      <c r="C175" s="1">
        <f t="shared" ca="1" si="74"/>
        <v>1</v>
      </c>
      <c r="D175" s="1" t="s">
        <v>82</v>
      </c>
      <c r="E175" s="1" t="s">
        <v>763</v>
      </c>
      <c r="F175" s="1"/>
      <c r="G175" s="1" t="s">
        <v>594</v>
      </c>
      <c r="H175" s="1" t="str">
        <f t="shared" ca="1" si="75"/>
        <v>sphere4_2</v>
      </c>
      <c r="I175" s="1" t="str">
        <f ca="1">IF(C175&lt;2,"this",IF(C175=C174,I174,IF(C175&gt;C174,H174, LOOKUP(1,0/(H$2:H174=I174),I$2:I175))))</f>
        <v>this</v>
      </c>
      <c r="J175" s="1" t="str">
        <f t="shared" si="71"/>
        <v>createMovieClipSub</v>
      </c>
      <c r="K175" s="1" t="str">
        <f t="shared" si="76"/>
        <v>sphere4_2</v>
      </c>
      <c r="L175" s="1" t="str">
        <f t="shared" si="77"/>
        <v>sphere4_2</v>
      </c>
      <c r="M175" s="1"/>
      <c r="N175" s="1"/>
      <c r="O175" s="1"/>
      <c r="P175" s="14" t="str">
        <f t="shared" ca="1" si="72"/>
        <v>MovieClipSub * sphere4_2;</v>
      </c>
      <c r="Q175" s="14" t="str">
        <f t="shared" ca="1" si="73"/>
        <v>sphere4_2= this-&gt;createMovieClipSub("sphere4_2");</v>
      </c>
    </row>
    <row r="176" spans="1:17" x14ac:dyDescent="0.25">
      <c r="A176" s="1"/>
      <c r="B176" s="4" t="s">
        <v>212</v>
      </c>
      <c r="C176" s="1">
        <f t="shared" ca="1" si="74"/>
        <v>2</v>
      </c>
      <c r="D176" s="1" t="s">
        <v>82</v>
      </c>
      <c r="E176" s="1" t="s">
        <v>763</v>
      </c>
      <c r="F176" s="1"/>
      <c r="G176" s="1" t="s">
        <v>594</v>
      </c>
      <c r="H176" s="1" t="str">
        <f t="shared" ca="1" si="75"/>
        <v>sphere4_2Bullet</v>
      </c>
      <c r="I176" s="1" t="str">
        <f ca="1">IF(C176&lt;2,"this",IF(C176=C175,I175,IF(C176&gt;C175,H175, LOOKUP(1,0/(H$2:H175=I175),I$2:I176))))</f>
        <v>sphere4_2</v>
      </c>
      <c r="J176" s="1" t="str">
        <f t="shared" si="71"/>
        <v>createMovieClipSub</v>
      </c>
      <c r="K176" s="1" t="str">
        <f t="shared" si="76"/>
        <v>bullet</v>
      </c>
      <c r="L176" s="1" t="str">
        <f t="shared" si="77"/>
        <v>bullet</v>
      </c>
      <c r="M176" s="1"/>
      <c r="N176" s="1"/>
      <c r="O176" s="1"/>
      <c r="P176" s="14" t="str">
        <f t="shared" ca="1" si="72"/>
        <v>MovieClipSub * sphere4_2Bullet;</v>
      </c>
      <c r="Q176" s="14" t="str">
        <f t="shared" ca="1" si="73"/>
        <v>sphere4_2Bullet= sphere4_2-&gt;createMovieClipSub("bullet");</v>
      </c>
    </row>
    <row r="177" spans="1:17" x14ac:dyDescent="0.25">
      <c r="A177" s="1"/>
      <c r="B177" s="5" t="s">
        <v>84</v>
      </c>
      <c r="C177" s="1">
        <f t="shared" ca="1" si="74"/>
        <v>3</v>
      </c>
      <c r="D177" s="1" t="s">
        <v>82</v>
      </c>
      <c r="E177" s="1" t="s">
        <v>763</v>
      </c>
      <c r="F177" s="1"/>
      <c r="G177" s="1" t="s">
        <v>594</v>
      </c>
      <c r="H177" s="1" t="str">
        <f t="shared" ca="1" si="75"/>
        <v>sphere4_2BulletCont</v>
      </c>
      <c r="I177" s="1" t="str">
        <f ca="1">IF(C177&lt;2,"this",IF(C177=C176,I176,IF(C177&gt;C176,H176, LOOKUP(1,0/(H$2:H176=I176),I$2:I177))))</f>
        <v>sphere4_2Bullet</v>
      </c>
      <c r="J177" s="1" t="str">
        <f t="shared" si="71"/>
        <v>createMovieClipSub</v>
      </c>
      <c r="K177" s="1" t="str">
        <f t="shared" si="76"/>
        <v>cont</v>
      </c>
      <c r="L177" s="1" t="str">
        <f t="shared" si="77"/>
        <v>cont</v>
      </c>
      <c r="M177" s="1"/>
      <c r="N177" s="1"/>
      <c r="O177" s="1"/>
      <c r="P177" s="14" t="str">
        <f t="shared" ca="1" si="72"/>
        <v>MovieClipSub * sphere4_2BulletCont;</v>
      </c>
      <c r="Q177" s="14" t="str">
        <f t="shared" ca="1" si="73"/>
        <v>sphere4_2BulletCont= sphere4_2Bullet-&gt;createMovieClipSub("cont");</v>
      </c>
    </row>
    <row r="178" spans="1:17" x14ac:dyDescent="0.25">
      <c r="A178" s="1"/>
      <c r="B178" s="3" t="s">
        <v>181</v>
      </c>
      <c r="C178" s="1">
        <f t="shared" ca="1" si="74"/>
        <v>1</v>
      </c>
      <c r="D178" s="1" t="s">
        <v>82</v>
      </c>
      <c r="E178" s="1" t="s">
        <v>763</v>
      </c>
      <c r="F178" s="1"/>
      <c r="G178" s="1" t="s">
        <v>594</v>
      </c>
      <c r="H178" s="1" t="str">
        <f t="shared" ca="1" si="75"/>
        <v>sphere4_3</v>
      </c>
      <c r="I178" s="1" t="str">
        <f ca="1">IF(C178&lt;2,"this",IF(C178=C177,I177,IF(C178&gt;C177,H177, LOOKUP(1,0/(H$2:H177=I177),I$2:I178))))</f>
        <v>this</v>
      </c>
      <c r="J178" s="1" t="str">
        <f t="shared" si="71"/>
        <v>createMovieClipSub</v>
      </c>
      <c r="K178" s="1" t="str">
        <f t="shared" si="76"/>
        <v>sphere4_3</v>
      </c>
      <c r="L178" s="1" t="str">
        <f t="shared" si="77"/>
        <v>sphere4_3</v>
      </c>
      <c r="M178" s="1"/>
      <c r="N178" s="1"/>
      <c r="O178" s="1"/>
      <c r="P178" s="14" t="str">
        <f t="shared" ca="1" si="72"/>
        <v>MovieClipSub * sphere4_3;</v>
      </c>
      <c r="Q178" s="14" t="str">
        <f t="shared" ca="1" si="73"/>
        <v>sphere4_3= this-&gt;createMovieClipSub("sphere4_3");</v>
      </c>
    </row>
    <row r="179" spans="1:17" x14ac:dyDescent="0.25">
      <c r="A179" s="1"/>
      <c r="B179" s="4" t="s">
        <v>212</v>
      </c>
      <c r="C179" s="1">
        <f t="shared" ca="1" si="74"/>
        <v>2</v>
      </c>
      <c r="D179" s="1" t="s">
        <v>82</v>
      </c>
      <c r="E179" s="1" t="s">
        <v>763</v>
      </c>
      <c r="F179" s="1"/>
      <c r="G179" s="1" t="s">
        <v>594</v>
      </c>
      <c r="H179" s="1" t="str">
        <f t="shared" ca="1" si="75"/>
        <v>sphere4_3Bullet</v>
      </c>
      <c r="I179" s="1" t="str">
        <f ca="1">IF(C179&lt;2,"this",IF(C179=C178,I178,IF(C179&gt;C178,H178, LOOKUP(1,0/(H$2:H178=I178),I$2:I179))))</f>
        <v>sphere4_3</v>
      </c>
      <c r="J179" s="1" t="str">
        <f t="shared" si="71"/>
        <v>createMovieClipSub</v>
      </c>
      <c r="K179" s="1" t="str">
        <f t="shared" si="76"/>
        <v>bullet</v>
      </c>
      <c r="L179" s="1" t="str">
        <f t="shared" si="77"/>
        <v>bullet</v>
      </c>
      <c r="M179" s="1"/>
      <c r="N179" s="1"/>
      <c r="O179" s="1"/>
      <c r="P179" s="14" t="str">
        <f t="shared" ca="1" si="72"/>
        <v>MovieClipSub * sphere4_3Bullet;</v>
      </c>
      <c r="Q179" s="14" t="str">
        <f t="shared" ca="1" si="73"/>
        <v>sphere4_3Bullet= sphere4_3-&gt;createMovieClipSub("bullet");</v>
      </c>
    </row>
    <row r="180" spans="1:17" x14ac:dyDescent="0.25">
      <c r="A180" s="1"/>
      <c r="B180" s="5" t="s">
        <v>84</v>
      </c>
      <c r="C180" s="1">
        <f t="shared" ca="1" si="74"/>
        <v>3</v>
      </c>
      <c r="D180" s="1" t="s">
        <v>82</v>
      </c>
      <c r="E180" s="1" t="s">
        <v>763</v>
      </c>
      <c r="F180" s="1"/>
      <c r="G180" s="1" t="s">
        <v>594</v>
      </c>
      <c r="H180" s="1" t="str">
        <f t="shared" ca="1" si="75"/>
        <v>sphere4_3BulletCont</v>
      </c>
      <c r="I180" s="1" t="str">
        <f ca="1">IF(C180&lt;2,"this",IF(C180=C179,I179,IF(C180&gt;C179,H179, LOOKUP(1,0/(H$2:H179=I179),I$2:I180))))</f>
        <v>sphere4_3Bullet</v>
      </c>
      <c r="J180" s="1" t="str">
        <f t="shared" si="71"/>
        <v>createMovieClipSub</v>
      </c>
      <c r="K180" s="1" t="str">
        <f t="shared" si="76"/>
        <v>cont</v>
      </c>
      <c r="L180" s="1" t="str">
        <f t="shared" si="77"/>
        <v>cont</v>
      </c>
      <c r="M180" s="1"/>
      <c r="N180" s="1"/>
      <c r="O180" s="1"/>
      <c r="P180" s="14" t="str">
        <f t="shared" ca="1" si="72"/>
        <v>MovieClipSub * sphere4_3BulletCont;</v>
      </c>
      <c r="Q180" s="14" t="str">
        <f t="shared" ca="1" si="73"/>
        <v>sphere4_3BulletCont= sphere4_3Bullet-&gt;createMovieClipSub("cont");</v>
      </c>
    </row>
    <row r="181" spans="1:17" x14ac:dyDescent="0.25">
      <c r="A181" s="1"/>
      <c r="B181" s="3" t="s">
        <v>182</v>
      </c>
      <c r="C181" s="1">
        <f t="shared" ca="1" si="74"/>
        <v>1</v>
      </c>
      <c r="D181" s="1" t="s">
        <v>82</v>
      </c>
      <c r="E181" s="1" t="s">
        <v>763</v>
      </c>
      <c r="F181" s="1"/>
      <c r="G181" s="1" t="s">
        <v>594</v>
      </c>
      <c r="H181" s="1" t="str">
        <f t="shared" ca="1" si="75"/>
        <v>sphere4_4</v>
      </c>
      <c r="I181" s="1" t="str">
        <f ca="1">IF(C181&lt;2,"this",IF(C181=C180,I180,IF(C181&gt;C180,H180, LOOKUP(1,0/(H$2:H180=I180),I$2:I181))))</f>
        <v>this</v>
      </c>
      <c r="J181" s="1" t="str">
        <f t="shared" si="71"/>
        <v>createMovieClipSub</v>
      </c>
      <c r="K181" s="1" t="str">
        <f t="shared" si="76"/>
        <v>sphere4_4</v>
      </c>
      <c r="L181" s="1" t="str">
        <f t="shared" si="77"/>
        <v>sphere4_4</v>
      </c>
      <c r="M181" s="1"/>
      <c r="N181" s="1"/>
      <c r="O181" s="1"/>
      <c r="P181" s="14" t="str">
        <f t="shared" ca="1" si="72"/>
        <v>MovieClipSub * sphere4_4;</v>
      </c>
      <c r="Q181" s="14" t="str">
        <f t="shared" ca="1" si="73"/>
        <v>sphere4_4= this-&gt;createMovieClipSub("sphere4_4");</v>
      </c>
    </row>
    <row r="182" spans="1:17" x14ac:dyDescent="0.25">
      <c r="A182" s="1"/>
      <c r="B182" s="4" t="s">
        <v>212</v>
      </c>
      <c r="C182" s="1">
        <f t="shared" ca="1" si="74"/>
        <v>2</v>
      </c>
      <c r="D182" s="1" t="s">
        <v>82</v>
      </c>
      <c r="E182" s="1" t="s">
        <v>763</v>
      </c>
      <c r="F182" s="1"/>
      <c r="G182" s="1" t="s">
        <v>594</v>
      </c>
      <c r="H182" s="1" t="str">
        <f t="shared" ca="1" si="75"/>
        <v>sphere4_4Bullet</v>
      </c>
      <c r="I182" s="1" t="str">
        <f ca="1">IF(C182&lt;2,"this",IF(C182=C181,I181,IF(C182&gt;C181,H181, LOOKUP(1,0/(H$2:H181=I181),I$2:I182))))</f>
        <v>sphere4_4</v>
      </c>
      <c r="J182" s="1" t="str">
        <f t="shared" si="71"/>
        <v>createMovieClipSub</v>
      </c>
      <c r="K182" s="1" t="str">
        <f t="shared" si="76"/>
        <v>bullet</v>
      </c>
      <c r="L182" s="1" t="str">
        <f t="shared" si="77"/>
        <v>bullet</v>
      </c>
      <c r="M182" s="1"/>
      <c r="N182" s="1"/>
      <c r="O182" s="1"/>
      <c r="P182" s="14" t="str">
        <f t="shared" ca="1" si="72"/>
        <v>MovieClipSub * sphere4_4Bullet;</v>
      </c>
      <c r="Q182" s="14" t="str">
        <f t="shared" ca="1" si="73"/>
        <v>sphere4_4Bullet= sphere4_4-&gt;createMovieClipSub("bullet");</v>
      </c>
    </row>
    <row r="183" spans="1:17" x14ac:dyDescent="0.25">
      <c r="A183" s="1"/>
      <c r="B183" s="5" t="s">
        <v>84</v>
      </c>
      <c r="C183" s="1">
        <f t="shared" ca="1" si="74"/>
        <v>3</v>
      </c>
      <c r="D183" s="1" t="s">
        <v>82</v>
      </c>
      <c r="E183" s="1" t="s">
        <v>763</v>
      </c>
      <c r="F183" s="1"/>
      <c r="G183" s="1" t="s">
        <v>594</v>
      </c>
      <c r="H183" s="1" t="str">
        <f t="shared" ca="1" si="75"/>
        <v>sphere4_4BulletCont</v>
      </c>
      <c r="I183" s="1" t="str">
        <f ca="1">IF(C183&lt;2,"this",IF(C183=C182,I182,IF(C183&gt;C182,H182, LOOKUP(1,0/(H$2:H182=I182),I$2:I183))))</f>
        <v>sphere4_4Bullet</v>
      </c>
      <c r="J183" s="1" t="str">
        <f t="shared" si="71"/>
        <v>createMovieClipSub</v>
      </c>
      <c r="K183" s="1" t="str">
        <f t="shared" si="76"/>
        <v>cont</v>
      </c>
      <c r="L183" s="1" t="str">
        <f t="shared" si="77"/>
        <v>cont</v>
      </c>
      <c r="M183" s="1"/>
      <c r="N183" s="1"/>
      <c r="O183" s="1"/>
      <c r="P183" s="14" t="str">
        <f t="shared" ca="1" si="72"/>
        <v>MovieClipSub * sphere4_4BulletCont;</v>
      </c>
      <c r="Q183" s="14" t="str">
        <f t="shared" ca="1" si="73"/>
        <v>sphere4_4BulletCont= sphere4_4Bullet-&gt;createMovieClipSub("cont");</v>
      </c>
    </row>
    <row r="184" spans="1:17" x14ac:dyDescent="0.25">
      <c r="A184" s="1" t="s">
        <v>183</v>
      </c>
      <c r="B184" s="29" t="s">
        <v>184</v>
      </c>
      <c r="C184" s="1">
        <f t="shared" ca="1" si="74"/>
        <v>0</v>
      </c>
      <c r="D184" s="1" t="s">
        <v>82</v>
      </c>
      <c r="E184" s="1"/>
      <c r="F184" s="1"/>
      <c r="G184" s="21" t="s">
        <v>595</v>
      </c>
      <c r="H184" s="1" t="str">
        <f t="shared" ca="1" si="75"/>
        <v>Tower5_mc</v>
      </c>
      <c r="I184" s="1" t="str">
        <f ca="1">IF(C184&lt;2,"this",IF(C184=C183,I183,IF(C184&gt;C183,H183, LOOKUP(1,0/(H$2:H183=I183),I$2:I184))))</f>
        <v>this</v>
      </c>
      <c r="J184" s="1" t="str">
        <f t="shared" si="71"/>
        <v>createMovieClip</v>
      </c>
      <c r="K184" s="1" t="str">
        <f t="shared" si="76"/>
        <v>Tower5_mc</v>
      </c>
      <c r="L184" s="1" t="str">
        <f t="shared" si="77"/>
        <v>Tower5_mc</v>
      </c>
      <c r="M184" s="1"/>
      <c r="N184" s="1"/>
      <c r="O184" s="1"/>
      <c r="P184" s="14" t="str">
        <f t="shared" ca="1" si="72"/>
        <v/>
      </c>
      <c r="Q184" s="14" t="str">
        <f t="shared" ca="1" si="73"/>
        <v>Tower5_mc::Tower5_mc:MovieClip("tower","Tower5_mc","Tower5_mc"{)</v>
      </c>
    </row>
    <row r="185" spans="1:17" x14ac:dyDescent="0.25">
      <c r="A185" s="1"/>
      <c r="B185" s="3" t="s">
        <v>164</v>
      </c>
      <c r="C185" s="1">
        <f t="shared" ca="1" si="74"/>
        <v>1</v>
      </c>
      <c r="D185" s="1" t="s">
        <v>82</v>
      </c>
      <c r="E185" s="1"/>
      <c r="F185" s="1"/>
      <c r="G185" s="1" t="s">
        <v>594</v>
      </c>
      <c r="H185" s="1" t="str">
        <f t="shared" ca="1" si="75"/>
        <v>blockTower</v>
      </c>
      <c r="I185" s="1" t="str">
        <f ca="1">IF(C185&lt;2,"this",IF(C185=C184,I184,IF(C185&gt;C184,H184, LOOKUP(1,0/(H$2:H184=I184),I$2:I185))))</f>
        <v>this</v>
      </c>
      <c r="J185" s="1" t="str">
        <f t="shared" si="71"/>
        <v>createMovieClipSub</v>
      </c>
      <c r="K185" s="1" t="str">
        <f t="shared" si="76"/>
        <v>blockTower</v>
      </c>
      <c r="L185" s="1" t="str">
        <f t="shared" si="77"/>
        <v>blockTower</v>
      </c>
      <c r="M185" s="1"/>
      <c r="N185" s="1"/>
      <c r="O185" s="1"/>
      <c r="P185" s="14" t="str">
        <f t="shared" ca="1" si="72"/>
        <v>MovieClipSub * blockTower;</v>
      </c>
      <c r="Q185" s="14" t="str">
        <f t="shared" ca="1" si="73"/>
        <v>blockTower= this-&gt;createMovieClipSub("blockTower");</v>
      </c>
    </row>
    <row r="186" spans="1:17" x14ac:dyDescent="0.25">
      <c r="A186" s="1"/>
      <c r="B186" s="3" t="s">
        <v>165</v>
      </c>
      <c r="C186" s="1">
        <f t="shared" ca="1" si="74"/>
        <v>1</v>
      </c>
      <c r="D186" s="1" t="s">
        <v>82</v>
      </c>
      <c r="E186" s="1"/>
      <c r="F186" s="1"/>
      <c r="G186" s="1" t="s">
        <v>594</v>
      </c>
      <c r="H186" s="1" t="str">
        <f t="shared" ca="1" si="75"/>
        <v>boneBlock</v>
      </c>
      <c r="I186" s="1" t="str">
        <f ca="1">IF(C186&lt;2,"this",IF(C186=C185,I185,IF(C186&gt;C185,H185, LOOKUP(1,0/(H$2:H185=I185),I$2:I186))))</f>
        <v>this</v>
      </c>
      <c r="J186" s="1" t="str">
        <f t="shared" si="71"/>
        <v>createMovieClipSub</v>
      </c>
      <c r="K186" s="1" t="str">
        <f t="shared" si="76"/>
        <v>boneBlock</v>
      </c>
      <c r="L186" s="1" t="str">
        <f t="shared" si="77"/>
        <v>boneBlock</v>
      </c>
      <c r="M186" s="1"/>
      <c r="N186" s="1"/>
      <c r="O186" s="1"/>
      <c r="P186" s="14" t="str">
        <f t="shared" ca="1" si="72"/>
        <v>MovieClipSub * boneBlock;</v>
      </c>
      <c r="Q186" s="14" t="str">
        <f t="shared" ca="1" si="73"/>
        <v>boneBlock= this-&gt;createMovieClipSub("boneBlock");</v>
      </c>
    </row>
    <row r="187" spans="1:17" x14ac:dyDescent="0.25">
      <c r="A187" s="1"/>
      <c r="B187" s="3" t="s">
        <v>185</v>
      </c>
      <c r="C187" s="1">
        <f t="shared" ca="1" si="74"/>
        <v>1</v>
      </c>
      <c r="D187" s="1" t="s">
        <v>82</v>
      </c>
      <c r="E187" s="1"/>
      <c r="F187" s="1"/>
      <c r="G187" s="1" t="s">
        <v>594</v>
      </c>
      <c r="H187" s="1" t="str">
        <f t="shared" ca="1" si="75"/>
        <v>bot</v>
      </c>
      <c r="I187" s="1" t="str">
        <f ca="1">IF(C187&lt;2,"this",IF(C187=C186,I186,IF(C187&gt;C186,H186, LOOKUP(1,0/(H$2:H186=I186),I$2:I187))))</f>
        <v>this</v>
      </c>
      <c r="J187" s="1" t="str">
        <f t="shared" si="71"/>
        <v>createMovieClipSub</v>
      </c>
      <c r="K187" s="1" t="str">
        <f t="shared" si="76"/>
        <v>bot</v>
      </c>
      <c r="L187" s="1" t="str">
        <f t="shared" si="77"/>
        <v>bot</v>
      </c>
      <c r="M187" s="1"/>
      <c r="N187" s="1"/>
      <c r="O187" s="1"/>
      <c r="P187" s="14" t="str">
        <f t="shared" ca="1" si="72"/>
        <v>MovieClipSub * bot;</v>
      </c>
      <c r="Q187" s="14" t="str">
        <f t="shared" ca="1" si="73"/>
        <v>bot= this-&gt;createMovieClipSub("bot");</v>
      </c>
    </row>
    <row r="188" spans="1:17" x14ac:dyDescent="0.25">
      <c r="A188" s="1"/>
      <c r="B188" s="3" t="s">
        <v>167</v>
      </c>
      <c r="C188" s="1">
        <f t="shared" ca="1" si="74"/>
        <v>1</v>
      </c>
      <c r="D188" s="1" t="s">
        <v>82</v>
      </c>
      <c r="E188" s="1"/>
      <c r="F188" s="1"/>
      <c r="G188" s="1" t="s">
        <v>682</v>
      </c>
      <c r="H188" s="1" t="str">
        <f t="shared" ca="1" si="75"/>
        <v>towerCase</v>
      </c>
      <c r="I188" s="1" t="str">
        <f ca="1">IF(C188&lt;2,"this",IF(C188=C187,I187,IF(C188&gt;C187,H187, LOOKUP(1,0/(H$2:H187=I187),I$2:I188))))</f>
        <v>this</v>
      </c>
      <c r="J188" s="1" t="str">
        <f t="shared" si="71"/>
        <v>createCase</v>
      </c>
      <c r="K188" s="1" t="str">
        <f t="shared" si="76"/>
        <v>towerCase</v>
      </c>
      <c r="L188" s="1" t="str">
        <f t="shared" si="77"/>
        <v>towerCase</v>
      </c>
      <c r="M188" s="1"/>
      <c r="N188" s="1"/>
      <c r="O188" s="1"/>
      <c r="P188" s="14" t="str">
        <f t="shared" ca="1" si="72"/>
        <v>MCCase * towerCase;</v>
      </c>
      <c r="Q188" s="14" t="str">
        <f t="shared" ca="1" si="73"/>
        <v>towerCase= this-&gt;createCase("towerCase");</v>
      </c>
    </row>
    <row r="189" spans="1:17" x14ac:dyDescent="0.25">
      <c r="A189" s="1"/>
      <c r="B189" s="3" t="s">
        <v>186</v>
      </c>
      <c r="C189" s="1">
        <f t="shared" ca="1" si="74"/>
        <v>1</v>
      </c>
      <c r="D189" s="1" t="s">
        <v>82</v>
      </c>
      <c r="E189" s="1"/>
      <c r="F189" s="1"/>
      <c r="G189" s="1" t="s">
        <v>594</v>
      </c>
      <c r="H189" s="1" t="str">
        <f t="shared" ca="1" si="75"/>
        <v>upgr1</v>
      </c>
      <c r="I189" s="1" t="str">
        <f ca="1">IF(C189&lt;2,"this",IF(C189=C188,I188,IF(C189&gt;C188,H188, LOOKUP(1,0/(H$2:H188=I188),I$2:I189))))</f>
        <v>this</v>
      </c>
      <c r="J189" s="1" t="str">
        <f t="shared" si="71"/>
        <v>createMovieClipSub</v>
      </c>
      <c r="K189" s="1" t="str">
        <f t="shared" si="76"/>
        <v>upgr1</v>
      </c>
      <c r="L189" s="1" t="str">
        <f t="shared" si="77"/>
        <v>upgr1</v>
      </c>
      <c r="M189" s="1"/>
      <c r="N189" s="1"/>
      <c r="O189" s="1"/>
      <c r="P189" s="14" t="str">
        <f t="shared" ca="1" si="72"/>
        <v>MovieClipSub * upgr1;</v>
      </c>
      <c r="Q189" s="14" t="str">
        <f t="shared" ca="1" si="73"/>
        <v>upgr1= this-&gt;createMovieClipSub("upgr1");</v>
      </c>
    </row>
    <row r="190" spans="1:17" x14ac:dyDescent="0.25">
      <c r="A190" s="1"/>
      <c r="B190" s="26" t="s">
        <v>217</v>
      </c>
      <c r="C190" s="1">
        <f t="shared" ca="1" si="74"/>
        <v>0</v>
      </c>
      <c r="D190" s="1" t="s">
        <v>82</v>
      </c>
      <c r="E190" s="1"/>
      <c r="F190" s="1"/>
      <c r="G190" s="21" t="s">
        <v>595</v>
      </c>
      <c r="H190" s="1" t="str">
        <f t="shared" ca="1" si="75"/>
        <v>ShotTower51_2_mc</v>
      </c>
      <c r="I190" s="1" t="str">
        <f ca="1">IF(C190&lt;2,"this",IF(C190=C189,I189,IF(C190&gt;C189,H189, LOOKUP(1,0/(H$2:H189=I189),I$2:I190))))</f>
        <v>this</v>
      </c>
      <c r="J190" s="1" t="str">
        <f t="shared" si="71"/>
        <v>createMovieClip</v>
      </c>
      <c r="K190" s="1" t="str">
        <f t="shared" si="76"/>
        <v>ShotTower51_2_mc</v>
      </c>
      <c r="L190" s="1" t="str">
        <f t="shared" si="77"/>
        <v>ShotTower51_2_mc</v>
      </c>
      <c r="M190" s="1"/>
      <c r="N190" s="1"/>
      <c r="O190" s="1"/>
      <c r="P190" s="14" t="str">
        <f t="shared" ca="1" si="72"/>
        <v/>
      </c>
      <c r="Q190" s="14" t="str">
        <f t="shared" ca="1" si="73"/>
        <v>ShotTower51_2_mc::ShotTower51_2_mc:MovieClip("tower","ShotTower51_2_mc","ShotTower51_2_mc"{)</v>
      </c>
    </row>
    <row r="191" spans="1:17" x14ac:dyDescent="0.25">
      <c r="A191" s="1" t="s">
        <v>187</v>
      </c>
      <c r="B191" s="29" t="s">
        <v>188</v>
      </c>
      <c r="C191" s="1">
        <f t="shared" ca="1" si="74"/>
        <v>0</v>
      </c>
      <c r="D191" s="1" t="s">
        <v>82</v>
      </c>
      <c r="E191" s="1"/>
      <c r="F191" s="1"/>
      <c r="G191" s="21" t="s">
        <v>595</v>
      </c>
      <c r="H191" s="1" t="str">
        <f t="shared" ca="1" si="75"/>
        <v>Tower6_mc</v>
      </c>
      <c r="I191" s="1" t="str">
        <f ca="1">IF(C191&lt;2,"this",IF(C191=C190,I190,IF(C191&gt;C190,H190, LOOKUP(1,0/(H$2:H190=I190),I$2:I191))))</f>
        <v>this</v>
      </c>
      <c r="J191" s="1" t="str">
        <f t="shared" si="71"/>
        <v>createMovieClip</v>
      </c>
      <c r="K191" s="1" t="str">
        <f t="shared" si="76"/>
        <v>Tower6_mc</v>
      </c>
      <c r="L191" s="1" t="str">
        <f t="shared" si="77"/>
        <v>Tower6_mc</v>
      </c>
      <c r="M191" s="1"/>
      <c r="N191" s="1"/>
      <c r="O191" s="1"/>
      <c r="P191" s="14" t="str">
        <f t="shared" ca="1" si="72"/>
        <v/>
      </c>
      <c r="Q191" s="14" t="str">
        <f t="shared" ca="1" si="73"/>
        <v>Tower6_mc::Tower6_mc:MovieClip("tower","Tower6_mc","Tower6_mc"{)</v>
      </c>
    </row>
    <row r="192" spans="1:17" x14ac:dyDescent="0.25">
      <c r="A192" s="1"/>
      <c r="B192" s="3" t="s">
        <v>164</v>
      </c>
      <c r="C192" s="1">
        <f t="shared" ca="1" si="74"/>
        <v>1</v>
      </c>
      <c r="D192" s="1" t="s">
        <v>82</v>
      </c>
      <c r="E192" s="1"/>
      <c r="F192" s="1"/>
      <c r="G192" s="1" t="s">
        <v>594</v>
      </c>
      <c r="H192" s="1" t="str">
        <f t="shared" ca="1" si="75"/>
        <v>blockTower</v>
      </c>
      <c r="I192" s="1" t="str">
        <f ca="1">IF(C192&lt;2,"this",IF(C192=C191,I191,IF(C192&gt;C191,H191, LOOKUP(1,0/(H$2:H191=I191),I$2:I192))))</f>
        <v>this</v>
      </c>
      <c r="J192" s="1" t="str">
        <f t="shared" si="71"/>
        <v>createMovieClipSub</v>
      </c>
      <c r="K192" s="1" t="str">
        <f t="shared" si="76"/>
        <v>blockTower</v>
      </c>
      <c r="L192" s="1" t="str">
        <f t="shared" si="77"/>
        <v>blockTower</v>
      </c>
      <c r="M192" s="1"/>
      <c r="N192" s="1"/>
      <c r="O192" s="1"/>
      <c r="P192" s="14" t="str">
        <f t="shared" ca="1" si="72"/>
        <v>MovieClipSub * blockTower;</v>
      </c>
      <c r="Q192" s="14" t="str">
        <f t="shared" ca="1" si="73"/>
        <v>blockTower= this-&gt;createMovieClipSub("blockTower");</v>
      </c>
    </row>
    <row r="193" spans="1:17" x14ac:dyDescent="0.25">
      <c r="A193" s="1"/>
      <c r="B193" s="3" t="s">
        <v>165</v>
      </c>
      <c r="C193" s="1">
        <f t="shared" ca="1" si="74"/>
        <v>1</v>
      </c>
      <c r="D193" s="1" t="s">
        <v>82</v>
      </c>
      <c r="E193" s="1"/>
      <c r="F193" s="1"/>
      <c r="G193" s="1" t="s">
        <v>594</v>
      </c>
      <c r="H193" s="1" t="str">
        <f t="shared" ca="1" si="75"/>
        <v>boneBlock</v>
      </c>
      <c r="I193" s="1" t="str">
        <f ca="1">IF(C193&lt;2,"this",IF(C193=C192,I192,IF(C193&gt;C192,H192, LOOKUP(1,0/(H$2:H192=I192),I$2:I193))))</f>
        <v>this</v>
      </c>
      <c r="J193" s="1" t="str">
        <f t="shared" si="71"/>
        <v>createMovieClipSub</v>
      </c>
      <c r="K193" s="1" t="str">
        <f t="shared" si="76"/>
        <v>boneBlock</v>
      </c>
      <c r="L193" s="1" t="str">
        <f t="shared" si="77"/>
        <v>boneBlock</v>
      </c>
      <c r="M193" s="1"/>
      <c r="N193" s="1"/>
      <c r="O193" s="1"/>
      <c r="P193" s="14" t="str">
        <f t="shared" ca="1" si="72"/>
        <v>MovieClipSub * boneBlock;</v>
      </c>
      <c r="Q193" s="14" t="str">
        <f t="shared" ca="1" si="73"/>
        <v>boneBlock= this-&gt;createMovieClipSub("boneBlock");</v>
      </c>
    </row>
    <row r="194" spans="1:17" x14ac:dyDescent="0.25">
      <c r="A194" s="1"/>
      <c r="B194" s="3" t="s">
        <v>189</v>
      </c>
      <c r="C194" s="1">
        <f t="shared" ca="1" si="74"/>
        <v>1</v>
      </c>
      <c r="D194" s="1" t="s">
        <v>82</v>
      </c>
      <c r="E194" s="1"/>
      <c r="F194" s="1"/>
      <c r="G194" s="1" t="s">
        <v>594</v>
      </c>
      <c r="H194" s="1" t="str">
        <f t="shared" ca="1" si="75"/>
        <v>shotAnima</v>
      </c>
      <c r="I194" s="1" t="str">
        <f ca="1">IF(C194&lt;2,"this",IF(C194=C193,I193,IF(C194&gt;C193,H193, LOOKUP(1,0/(H$2:H193=I193),I$2:I194))))</f>
        <v>this</v>
      </c>
      <c r="J194" s="1" t="str">
        <f t="shared" si="71"/>
        <v>createMovieClipSub</v>
      </c>
      <c r="K194" s="1" t="str">
        <f t="shared" si="76"/>
        <v>shotAnima</v>
      </c>
      <c r="L194" s="1" t="str">
        <f t="shared" si="77"/>
        <v>shotAnima</v>
      </c>
      <c r="M194" s="1"/>
      <c r="N194" s="1"/>
      <c r="O194" s="1"/>
      <c r="P194" s="14" t="str">
        <f t="shared" ca="1" si="72"/>
        <v>MovieClipSub * shotAnima;</v>
      </c>
      <c r="Q194" s="14" t="str">
        <f t="shared" ca="1" si="73"/>
        <v>shotAnima= this-&gt;createMovieClipSub("shotAnima");</v>
      </c>
    </row>
    <row r="195" spans="1:17" x14ac:dyDescent="0.25">
      <c r="A195" s="1"/>
      <c r="B195" s="3" t="s">
        <v>167</v>
      </c>
      <c r="C195" s="1">
        <f t="shared" ca="1" si="74"/>
        <v>1</v>
      </c>
      <c r="D195" s="1" t="s">
        <v>82</v>
      </c>
      <c r="E195" s="1"/>
      <c r="F195" s="1"/>
      <c r="G195" s="1" t="s">
        <v>682</v>
      </c>
      <c r="H195" s="1" t="str">
        <f t="shared" ca="1" si="75"/>
        <v>towerCase</v>
      </c>
      <c r="I195" s="1" t="str">
        <f ca="1">IF(C195&lt;2,"this",IF(C195=C194,I194,IF(C195&gt;C194,H194, LOOKUP(1,0/(H$2:H194=I194),I$2:I195))))</f>
        <v>this</v>
      </c>
      <c r="J195" s="1" t="str">
        <f t="shared" si="71"/>
        <v>createCase</v>
      </c>
      <c r="K195" s="1" t="str">
        <f t="shared" si="76"/>
        <v>towerCase</v>
      </c>
      <c r="L195" s="1" t="str">
        <f t="shared" si="77"/>
        <v>towerCase</v>
      </c>
      <c r="M195" s="1"/>
      <c r="N195" s="1"/>
      <c r="O195" s="1"/>
      <c r="P195" s="14" t="str">
        <f t="shared" ca="1" si="72"/>
        <v>MCCase * towerCase;</v>
      </c>
      <c r="Q195" s="14" t="str">
        <f t="shared" ca="1" si="73"/>
        <v>towerCase= this-&gt;createCase("towerCase");</v>
      </c>
    </row>
    <row r="196" spans="1:17" x14ac:dyDescent="0.25">
      <c r="A196" s="1" t="s">
        <v>190</v>
      </c>
      <c r="B196" s="29" t="s">
        <v>207</v>
      </c>
      <c r="C196" s="1">
        <f t="shared" ca="1" si="74"/>
        <v>0</v>
      </c>
      <c r="D196" s="1" t="s">
        <v>82</v>
      </c>
      <c r="E196" s="1"/>
      <c r="F196" s="1"/>
      <c r="G196" s="21" t="s">
        <v>595</v>
      </c>
      <c r="H196" s="1" t="str">
        <f t="shared" ca="1" si="75"/>
        <v>Tower7_mc</v>
      </c>
      <c r="I196" s="1" t="str">
        <f ca="1">IF(C196&lt;2,"this",IF(C196=C195,I195,IF(C196&gt;C195,H195, LOOKUP(1,0/(H$2:H195=I195),I$2:I196))))</f>
        <v>this</v>
      </c>
      <c r="J196" s="1" t="str">
        <f t="shared" si="71"/>
        <v>createMovieClip</v>
      </c>
      <c r="K196" s="1" t="str">
        <f t="shared" si="76"/>
        <v>Tower7_mc</v>
      </c>
      <c r="L196" s="1" t="str">
        <f t="shared" si="77"/>
        <v>Tower7_mc</v>
      </c>
      <c r="M196" s="1"/>
      <c r="N196" s="1"/>
      <c r="O196" s="1"/>
      <c r="P196" s="14" t="str">
        <f t="shared" ca="1" si="72"/>
        <v/>
      </c>
      <c r="Q196" s="14" t="str">
        <f t="shared" ca="1" si="73"/>
        <v>Tower7_mc::Tower7_mc:MovieClip("tower","Tower7_mc","Tower7_mc"{)</v>
      </c>
    </row>
    <row r="197" spans="1:17" x14ac:dyDescent="0.25">
      <c r="A197" s="1"/>
      <c r="B197" s="3" t="s">
        <v>164</v>
      </c>
      <c r="C197" s="1">
        <f t="shared" ca="1" si="74"/>
        <v>1</v>
      </c>
      <c r="D197" s="1" t="s">
        <v>82</v>
      </c>
      <c r="E197" s="1"/>
      <c r="F197" s="1"/>
      <c r="G197" s="1" t="s">
        <v>594</v>
      </c>
      <c r="H197" s="1" t="str">
        <f t="shared" ca="1" si="75"/>
        <v>blockTower</v>
      </c>
      <c r="I197" s="1" t="str">
        <f ca="1">IF(C197&lt;2,"this",IF(C197=C196,I196,IF(C197&gt;C196,H196, LOOKUP(1,0/(H$2:H196=I196),I$2:I197))))</f>
        <v>this</v>
      </c>
      <c r="J197" s="1" t="str">
        <f t="shared" si="71"/>
        <v>createMovieClipSub</v>
      </c>
      <c r="K197" s="1" t="str">
        <f t="shared" si="76"/>
        <v>blockTower</v>
      </c>
      <c r="L197" s="1" t="str">
        <f t="shared" si="77"/>
        <v>blockTower</v>
      </c>
      <c r="M197" s="1"/>
      <c r="N197" s="1"/>
      <c r="O197" s="1"/>
      <c r="P197" s="14" t="str">
        <f t="shared" ca="1" si="72"/>
        <v>MovieClipSub * blockTower;</v>
      </c>
      <c r="Q197" s="14" t="str">
        <f t="shared" ca="1" si="73"/>
        <v>blockTower= this-&gt;createMovieClipSub("blockTower");</v>
      </c>
    </row>
    <row r="198" spans="1:17" x14ac:dyDescent="0.25">
      <c r="A198" s="1"/>
      <c r="B198" s="3" t="s">
        <v>165</v>
      </c>
      <c r="C198" s="1">
        <f t="shared" ca="1" si="74"/>
        <v>1</v>
      </c>
      <c r="D198" s="1" t="s">
        <v>82</v>
      </c>
      <c r="E198" s="1"/>
      <c r="F198" s="1"/>
      <c r="G198" s="1" t="s">
        <v>594</v>
      </c>
      <c r="H198" s="1" t="str">
        <f t="shared" ca="1" si="75"/>
        <v>boneBlock</v>
      </c>
      <c r="I198" s="1" t="str">
        <f ca="1">IF(C198&lt;2,"this",IF(C198=C197,I197,IF(C198&gt;C197,H197, LOOKUP(1,0/(H$2:H197=I197),I$2:I198))))</f>
        <v>this</v>
      </c>
      <c r="J198" s="1" t="str">
        <f t="shared" si="71"/>
        <v>createMovieClipSub</v>
      </c>
      <c r="K198" s="1" t="str">
        <f t="shared" si="76"/>
        <v>boneBlock</v>
      </c>
      <c r="L198" s="1" t="str">
        <f t="shared" si="77"/>
        <v>boneBlock</v>
      </c>
      <c r="M198" s="1"/>
      <c r="N198" s="1"/>
      <c r="O198" s="1"/>
      <c r="P198" s="14" t="str">
        <f t="shared" ca="1" si="72"/>
        <v>MovieClipSub * boneBlock;</v>
      </c>
      <c r="Q198" s="14" t="str">
        <f t="shared" ca="1" si="73"/>
        <v>boneBlock= this-&gt;createMovieClipSub("boneBlock");</v>
      </c>
    </row>
    <row r="199" spans="1:17" x14ac:dyDescent="0.25">
      <c r="A199" s="1"/>
      <c r="B199" s="3" t="s">
        <v>167</v>
      </c>
      <c r="C199" s="1">
        <f t="shared" ca="1" si="74"/>
        <v>1</v>
      </c>
      <c r="D199" s="1" t="s">
        <v>82</v>
      </c>
      <c r="E199" s="1"/>
      <c r="F199" s="1"/>
      <c r="G199" s="1" t="s">
        <v>682</v>
      </c>
      <c r="H199" s="1" t="str">
        <f t="shared" ca="1" si="75"/>
        <v>towerCase</v>
      </c>
      <c r="I199" s="1" t="str">
        <f ca="1">IF(C199&lt;2,"this",IF(C199=C198,I198,IF(C199&gt;C198,H198, LOOKUP(1,0/(H$2:H198=I198),I$2:I199))))</f>
        <v>this</v>
      </c>
      <c r="J199" s="1" t="str">
        <f t="shared" si="71"/>
        <v>createCase</v>
      </c>
      <c r="K199" s="1" t="str">
        <f t="shared" si="76"/>
        <v>towerCase</v>
      </c>
      <c r="L199" s="1" t="str">
        <f t="shared" si="77"/>
        <v>towerCase</v>
      </c>
      <c r="M199" s="1"/>
      <c r="N199" s="1"/>
      <c r="O199" s="1"/>
      <c r="P199" s="14" t="str">
        <f t="shared" ca="1" si="72"/>
        <v>MCCase * towerCase;</v>
      </c>
      <c r="Q199" s="14" t="str">
        <f t="shared" ca="1" si="73"/>
        <v>towerCase= this-&gt;createCase("towerCase");</v>
      </c>
    </row>
    <row r="200" spans="1:17" x14ac:dyDescent="0.25">
      <c r="A200" s="1"/>
      <c r="B200" s="3" t="s">
        <v>191</v>
      </c>
      <c r="C200" s="1">
        <f t="shared" ca="1" si="74"/>
        <v>1</v>
      </c>
      <c r="D200" s="1" t="s">
        <v>82</v>
      </c>
      <c r="E200" s="1"/>
      <c r="F200" s="1"/>
      <c r="G200" s="1" t="s">
        <v>594</v>
      </c>
      <c r="H200" s="1" t="str">
        <f t="shared" ca="1" si="75"/>
        <v>cont1</v>
      </c>
      <c r="I200" s="1" t="str">
        <f ca="1">IF(C200&lt;2,"this",IF(C200=C199,I199,IF(C200&gt;C199,H199, LOOKUP(1,0/(H$2:H199=I199),I$2:I200))))</f>
        <v>this</v>
      </c>
      <c r="J200" s="1" t="str">
        <f t="shared" si="71"/>
        <v>createMovieClipSub</v>
      </c>
      <c r="K200" s="1" t="str">
        <f t="shared" si="76"/>
        <v>cont1</v>
      </c>
      <c r="L200" s="1" t="str">
        <f t="shared" si="77"/>
        <v>cont1</v>
      </c>
      <c r="M200" s="1"/>
      <c r="N200" s="1"/>
      <c r="O200" s="1"/>
      <c r="P200" s="14" t="str">
        <f t="shared" ca="1" si="72"/>
        <v>MovieClipSub * cont1;</v>
      </c>
      <c r="Q200" s="14" t="str">
        <f t="shared" ca="1" si="73"/>
        <v>cont1= this-&gt;createMovieClipSub("cont1");</v>
      </c>
    </row>
    <row r="201" spans="1:17" x14ac:dyDescent="0.25">
      <c r="A201" s="1"/>
      <c r="B201" s="3" t="s">
        <v>192</v>
      </c>
      <c r="C201" s="1">
        <f t="shared" ca="1" si="74"/>
        <v>1</v>
      </c>
      <c r="D201" s="1" t="s">
        <v>82</v>
      </c>
      <c r="E201" s="1"/>
      <c r="F201" s="1"/>
      <c r="G201" s="1" t="s">
        <v>594</v>
      </c>
      <c r="H201" s="1" t="str">
        <f t="shared" ca="1" si="75"/>
        <v>cont2</v>
      </c>
      <c r="I201" s="1" t="str">
        <f ca="1">IF(C201&lt;2,"this",IF(C201=C200,I200,IF(C201&gt;C200,H200, LOOKUP(1,0/(H$2:H200=I200),I$2:I201))))</f>
        <v>this</v>
      </c>
      <c r="J201" s="1" t="str">
        <f t="shared" si="71"/>
        <v>createMovieClipSub</v>
      </c>
      <c r="K201" s="1" t="str">
        <f t="shared" si="76"/>
        <v>cont2</v>
      </c>
      <c r="L201" s="1" t="str">
        <f t="shared" si="77"/>
        <v>cont2</v>
      </c>
      <c r="M201" s="1"/>
      <c r="N201" s="1"/>
      <c r="O201" s="1"/>
      <c r="P201" s="14" t="str">
        <f t="shared" ca="1" si="72"/>
        <v>MovieClipSub * cont2;</v>
      </c>
      <c r="Q201" s="14" t="str">
        <f t="shared" ca="1" si="73"/>
        <v>cont2= this-&gt;createMovieClipSub("cont2");</v>
      </c>
    </row>
    <row r="202" spans="1:17" x14ac:dyDescent="0.25">
      <c r="A202" s="1"/>
      <c r="B202" s="3" t="s">
        <v>193</v>
      </c>
      <c r="C202" s="1">
        <f t="shared" ca="1" si="74"/>
        <v>1</v>
      </c>
      <c r="D202" s="1" t="s">
        <v>82</v>
      </c>
      <c r="E202" s="1"/>
      <c r="F202" s="1"/>
      <c r="G202" s="1" t="s">
        <v>594</v>
      </c>
      <c r="H202" s="1" t="str">
        <f t="shared" ca="1" si="75"/>
        <v>cont3</v>
      </c>
      <c r="I202" s="1" t="str">
        <f ca="1">IF(C202&lt;2,"this",IF(C202=C201,I201,IF(C202&gt;C201,H201, LOOKUP(1,0/(H$2:H201=I201),I$2:I202))))</f>
        <v>this</v>
      </c>
      <c r="J202" s="1" t="str">
        <f t="shared" ref="J202:J230" si="78">CONCATENATE("create",IF(LEFT(G202,2)="MC",MID(G202,3,LEN(G202)),G202))</f>
        <v>createMovieClipSub</v>
      </c>
      <c r="K202" s="1" t="str">
        <f t="shared" si="76"/>
        <v>cont3</v>
      </c>
      <c r="L202" s="1" t="str">
        <f t="shared" si="77"/>
        <v>cont3</v>
      </c>
      <c r="M202" s="1"/>
      <c r="N202" s="1"/>
      <c r="O202" s="1"/>
      <c r="P202" s="14" t="str">
        <f t="shared" ref="P202:P230" ca="1" si="79">IF(C202&gt;0,G202 &amp; " * "&amp;H202 &amp;";","")</f>
        <v>MovieClipSub * cont3;</v>
      </c>
      <c r="Q202" s="14" t="str">
        <f t="shared" ref="Q202:Q230" ca="1" si="80">IF(C202&gt;0,H202&amp;"= "&amp;I202&amp;"-&gt;"&amp;J202&amp;"("""&amp;K202&amp;""")"&amp;";",IF(RIGHT(B202,3)&lt;&gt;"_mc",G202&amp;"("""&amp;D202&amp;""","""&amp;B202&amp;""","""&amp;K202&amp;"""{)",B202&amp;"::"&amp;B202&amp;":"&amp;G202&amp;"("""&amp;D202&amp;""","""&amp;B202&amp;""","""&amp;K202&amp;"""{)"))</f>
        <v>cont3= this-&gt;createMovieClipSub("cont3");</v>
      </c>
    </row>
    <row r="203" spans="1:17" x14ac:dyDescent="0.25">
      <c r="A203" s="1"/>
      <c r="B203" s="3" t="s">
        <v>194</v>
      </c>
      <c r="C203" s="1">
        <f t="shared" ca="1" si="74"/>
        <v>1</v>
      </c>
      <c r="D203" s="1" t="s">
        <v>82</v>
      </c>
      <c r="E203" s="1"/>
      <c r="F203" s="1"/>
      <c r="G203" s="1" t="s">
        <v>594</v>
      </c>
      <c r="H203" s="1" t="str">
        <f t="shared" ca="1" si="75"/>
        <v>round1</v>
      </c>
      <c r="I203" s="1" t="str">
        <f ca="1">IF(C203&lt;2,"this",IF(C203=C202,I202,IF(C203&gt;C202,H202, LOOKUP(1,0/(H$2:H202=I202),I$2:I203))))</f>
        <v>this</v>
      </c>
      <c r="J203" s="1" t="str">
        <f t="shared" si="78"/>
        <v>createMovieClipSub</v>
      </c>
      <c r="K203" s="1" t="str">
        <f t="shared" si="76"/>
        <v>round1</v>
      </c>
      <c r="L203" s="1" t="str">
        <f t="shared" si="77"/>
        <v>round1</v>
      </c>
      <c r="M203" s="1"/>
      <c r="N203" s="1"/>
      <c r="O203" s="1"/>
      <c r="P203" s="14" t="str">
        <f t="shared" ca="1" si="79"/>
        <v>MovieClipSub * round1;</v>
      </c>
      <c r="Q203" s="14" t="str">
        <f t="shared" ca="1" si="80"/>
        <v>round1= this-&gt;createMovieClipSub("round1");</v>
      </c>
    </row>
    <row r="204" spans="1:17" x14ac:dyDescent="0.25">
      <c r="A204" s="1"/>
      <c r="B204" s="3" t="s">
        <v>195</v>
      </c>
      <c r="C204" s="1">
        <f t="shared" ca="1" si="74"/>
        <v>1</v>
      </c>
      <c r="D204" s="1" t="s">
        <v>82</v>
      </c>
      <c r="E204" s="1"/>
      <c r="F204" s="1"/>
      <c r="G204" s="1" t="s">
        <v>594</v>
      </c>
      <c r="H204" s="1" t="str">
        <f t="shared" ca="1" si="75"/>
        <v>round2</v>
      </c>
      <c r="I204" s="1" t="str">
        <f ca="1">IF(C204&lt;2,"this",IF(C204=C203,I203,IF(C204&gt;C203,H203, LOOKUP(1,0/(H$2:H203=I203),I$2:I204))))</f>
        <v>this</v>
      </c>
      <c r="J204" s="1" t="str">
        <f t="shared" si="78"/>
        <v>createMovieClipSub</v>
      </c>
      <c r="K204" s="1" t="str">
        <f t="shared" si="76"/>
        <v>round2</v>
      </c>
      <c r="L204" s="1" t="str">
        <f t="shared" si="77"/>
        <v>round2</v>
      </c>
      <c r="M204" s="1"/>
      <c r="N204" s="1"/>
      <c r="O204" s="1"/>
      <c r="P204" s="14" t="str">
        <f t="shared" ca="1" si="79"/>
        <v>MovieClipSub * round2;</v>
      </c>
      <c r="Q204" s="14" t="str">
        <f t="shared" ca="1" si="80"/>
        <v>round2= this-&gt;createMovieClipSub("round2");</v>
      </c>
    </row>
    <row r="205" spans="1:17" x14ac:dyDescent="0.25">
      <c r="A205" s="1"/>
      <c r="B205" s="3" t="s">
        <v>196</v>
      </c>
      <c r="C205" s="1">
        <f t="shared" ca="1" si="74"/>
        <v>1</v>
      </c>
      <c r="D205" s="1" t="s">
        <v>82</v>
      </c>
      <c r="E205" s="1"/>
      <c r="F205" s="1"/>
      <c r="G205" s="1" t="s">
        <v>594</v>
      </c>
      <c r="H205" s="1" t="str">
        <f t="shared" ca="1" si="75"/>
        <v>round3</v>
      </c>
      <c r="I205" s="1" t="str">
        <f ca="1">IF(C205&lt;2,"this",IF(C205=C204,I204,IF(C205&gt;C204,H204, LOOKUP(1,0/(H$2:H204=I204),I$2:I205))))</f>
        <v>this</v>
      </c>
      <c r="J205" s="1" t="str">
        <f t="shared" si="78"/>
        <v>createMovieClipSub</v>
      </c>
      <c r="K205" s="1" t="str">
        <f t="shared" si="76"/>
        <v>round3</v>
      </c>
      <c r="L205" s="1" t="str">
        <f t="shared" si="77"/>
        <v>round3</v>
      </c>
      <c r="M205" s="1"/>
      <c r="N205" s="1"/>
      <c r="O205" s="1"/>
      <c r="P205" s="14" t="str">
        <f t="shared" ca="1" si="79"/>
        <v>MovieClipSub * round3;</v>
      </c>
      <c r="Q205" s="14" t="str">
        <f t="shared" ca="1" si="80"/>
        <v>round3= this-&gt;createMovieClipSub("round3");</v>
      </c>
    </row>
    <row r="206" spans="1:17" x14ac:dyDescent="0.25">
      <c r="A206" s="1"/>
      <c r="B206" s="3" t="s">
        <v>197</v>
      </c>
      <c r="C206" s="1">
        <f t="shared" ca="1" si="74"/>
        <v>1</v>
      </c>
      <c r="D206" s="1" t="s">
        <v>82</v>
      </c>
      <c r="E206" s="1"/>
      <c r="F206" s="1"/>
      <c r="G206" s="1" t="s">
        <v>594</v>
      </c>
      <c r="H206" s="1" t="str">
        <f t="shared" ca="1" si="75"/>
        <v>round4</v>
      </c>
      <c r="I206" s="1" t="str">
        <f ca="1">IF(C206&lt;2,"this",IF(C206=C205,I205,IF(C206&gt;C205,H205, LOOKUP(1,0/(H$2:H205=I205),I$2:I206))))</f>
        <v>this</v>
      </c>
      <c r="J206" s="1" t="str">
        <f t="shared" si="78"/>
        <v>createMovieClipSub</v>
      </c>
      <c r="K206" s="1" t="str">
        <f t="shared" si="76"/>
        <v>round4</v>
      </c>
      <c r="L206" s="1" t="str">
        <f t="shared" si="77"/>
        <v>round4</v>
      </c>
      <c r="M206" s="1"/>
      <c r="N206" s="1"/>
      <c r="O206" s="1"/>
      <c r="P206" s="14" t="str">
        <f t="shared" ca="1" si="79"/>
        <v>MovieClipSub * round4;</v>
      </c>
      <c r="Q206" s="14" t="str">
        <f t="shared" ca="1" si="80"/>
        <v>round4= this-&gt;createMovieClipSub("round4");</v>
      </c>
    </row>
    <row r="207" spans="1:17" x14ac:dyDescent="0.25">
      <c r="A207" s="1"/>
      <c r="B207" s="3" t="s">
        <v>218</v>
      </c>
      <c r="C207" s="1">
        <f t="shared" ca="1" si="74"/>
        <v>1</v>
      </c>
      <c r="D207" s="1" t="s">
        <v>82</v>
      </c>
      <c r="E207" s="1"/>
      <c r="F207" s="1"/>
      <c r="G207" s="1" t="s">
        <v>594</v>
      </c>
      <c r="H207" s="1" t="str">
        <f t="shared" ca="1" si="75"/>
        <v>upgr1_1</v>
      </c>
      <c r="I207" s="1" t="str">
        <f ca="1">IF(C207&lt;2,"this",IF(C207=C206,I206,IF(C207&gt;C206,H206, LOOKUP(1,0/(H$2:H206=I206),I$2:I207))))</f>
        <v>this</v>
      </c>
      <c r="J207" s="1" t="str">
        <f t="shared" si="78"/>
        <v>createMovieClipSub</v>
      </c>
      <c r="K207" s="1" t="str">
        <f t="shared" si="76"/>
        <v>upgr1_1</v>
      </c>
      <c r="L207" s="1" t="str">
        <f t="shared" si="77"/>
        <v>upgr1_1</v>
      </c>
      <c r="M207" s="1"/>
      <c r="N207" s="1"/>
      <c r="O207" s="1"/>
      <c r="P207" s="14" t="str">
        <f t="shared" ca="1" si="79"/>
        <v>MovieClipSub * upgr1_1;</v>
      </c>
      <c r="Q207" s="14" t="str">
        <f t="shared" ca="1" si="80"/>
        <v>upgr1_1= this-&gt;createMovieClipSub("upgr1_1");</v>
      </c>
    </row>
    <row r="208" spans="1:17" x14ac:dyDescent="0.25">
      <c r="A208" s="1"/>
      <c r="B208" s="3" t="s">
        <v>198</v>
      </c>
      <c r="C208" s="1">
        <f t="shared" ca="1" si="74"/>
        <v>1</v>
      </c>
      <c r="D208" s="1" t="s">
        <v>82</v>
      </c>
      <c r="E208" s="1"/>
      <c r="F208" s="1"/>
      <c r="G208" s="1" t="s">
        <v>594</v>
      </c>
      <c r="H208" s="1" t="str">
        <f t="shared" ca="1" si="75"/>
        <v>upgr1_2</v>
      </c>
      <c r="I208" s="1" t="str">
        <f ca="1">IF(C208&lt;2,"this",IF(C208=C207,I207,IF(C208&gt;C207,H207, LOOKUP(1,0/(H$2:H207=I207),I$2:I208))))</f>
        <v>this</v>
      </c>
      <c r="J208" s="1" t="str">
        <f t="shared" si="78"/>
        <v>createMovieClipSub</v>
      </c>
      <c r="K208" s="1" t="str">
        <f t="shared" si="76"/>
        <v>upgr1_2</v>
      </c>
      <c r="L208" s="1" t="str">
        <f t="shared" si="77"/>
        <v>upgr1_2</v>
      </c>
      <c r="M208" s="1"/>
      <c r="N208" s="1"/>
      <c r="O208" s="1"/>
      <c r="P208" s="14" t="str">
        <f t="shared" ca="1" si="79"/>
        <v>MovieClipSub * upgr1_2;</v>
      </c>
      <c r="Q208" s="14" t="str">
        <f t="shared" ca="1" si="80"/>
        <v>upgr1_2= this-&gt;createMovieClipSub("upgr1_2");</v>
      </c>
    </row>
    <row r="209" spans="1:17" x14ac:dyDescent="0.25">
      <c r="A209" s="1"/>
      <c r="B209" s="3" t="s">
        <v>199</v>
      </c>
      <c r="C209" s="1">
        <f t="shared" ca="1" si="74"/>
        <v>1</v>
      </c>
      <c r="D209" s="1" t="s">
        <v>82</v>
      </c>
      <c r="E209" s="1"/>
      <c r="F209" s="1"/>
      <c r="G209" s="1" t="s">
        <v>594</v>
      </c>
      <c r="H209" s="1" t="str">
        <f t="shared" ca="1" si="75"/>
        <v>upgr1_3</v>
      </c>
      <c r="I209" s="1" t="str">
        <f ca="1">IF(C209&lt;2,"this",IF(C209=C208,I208,IF(C209&gt;C208,H208, LOOKUP(1,0/(H$2:H208=I208),I$2:I209))))</f>
        <v>this</v>
      </c>
      <c r="J209" s="1" t="str">
        <f t="shared" si="78"/>
        <v>createMovieClipSub</v>
      </c>
      <c r="K209" s="1" t="str">
        <f t="shared" si="76"/>
        <v>upgr1_3</v>
      </c>
      <c r="L209" s="1" t="str">
        <f t="shared" si="77"/>
        <v>upgr1_3</v>
      </c>
      <c r="M209" s="1"/>
      <c r="N209" s="1"/>
      <c r="O209" s="1"/>
      <c r="P209" s="14" t="str">
        <f t="shared" ca="1" si="79"/>
        <v>MovieClipSub * upgr1_3;</v>
      </c>
      <c r="Q209" s="14" t="str">
        <f t="shared" ca="1" si="80"/>
        <v>upgr1_3= this-&gt;createMovieClipSub("upgr1_3");</v>
      </c>
    </row>
    <row r="210" spans="1:17" x14ac:dyDescent="0.25">
      <c r="A210" s="1"/>
      <c r="B210" s="3" t="s">
        <v>200</v>
      </c>
      <c r="C210" s="1">
        <f t="shared" ca="1" si="74"/>
        <v>1</v>
      </c>
      <c r="D210" s="1" t="s">
        <v>82</v>
      </c>
      <c r="E210" s="1"/>
      <c r="F210" s="1"/>
      <c r="G210" s="1" t="s">
        <v>594</v>
      </c>
      <c r="H210" s="1" t="str">
        <f t="shared" ca="1" si="75"/>
        <v>upgr1_4</v>
      </c>
      <c r="I210" s="1" t="str">
        <f ca="1">IF(C210&lt;2,"this",IF(C210=C209,I209,IF(C210&gt;C209,H209, LOOKUP(1,0/(H$2:H209=I209),I$2:I210))))</f>
        <v>this</v>
      </c>
      <c r="J210" s="1" t="str">
        <f t="shared" si="78"/>
        <v>createMovieClipSub</v>
      </c>
      <c r="K210" s="1" t="str">
        <f t="shared" si="76"/>
        <v>upgr1_4</v>
      </c>
      <c r="L210" s="1" t="str">
        <f t="shared" si="77"/>
        <v>upgr1_4</v>
      </c>
      <c r="M210" s="1"/>
      <c r="N210" s="1"/>
      <c r="O210" s="1"/>
      <c r="P210" s="14" t="str">
        <f t="shared" ca="1" si="79"/>
        <v>MovieClipSub * upgr1_4;</v>
      </c>
      <c r="Q210" s="14" t="str">
        <f t="shared" ca="1" si="80"/>
        <v>upgr1_4= this-&gt;createMovieClipSub("upgr1_4");</v>
      </c>
    </row>
    <row r="211" spans="1:17" x14ac:dyDescent="0.25">
      <c r="A211" s="1"/>
      <c r="B211" s="3" t="s">
        <v>201</v>
      </c>
      <c r="C211" s="1">
        <f t="shared" ca="1" si="74"/>
        <v>1</v>
      </c>
      <c r="D211" s="1" t="s">
        <v>82</v>
      </c>
      <c r="E211" s="1"/>
      <c r="F211" s="1"/>
      <c r="G211" s="1" t="s">
        <v>594</v>
      </c>
      <c r="H211" s="1" t="str">
        <f t="shared" ca="1" si="75"/>
        <v>upgr1_5</v>
      </c>
      <c r="I211" s="1" t="str">
        <f ca="1">IF(C211&lt;2,"this",IF(C211=C210,I210,IF(C211&gt;C210,H210, LOOKUP(1,0/(H$2:H210=I210),I$2:I211))))</f>
        <v>this</v>
      </c>
      <c r="J211" s="1" t="str">
        <f t="shared" si="78"/>
        <v>createMovieClipSub</v>
      </c>
      <c r="K211" s="1" t="str">
        <f t="shared" si="76"/>
        <v>upgr1_5</v>
      </c>
      <c r="L211" s="1" t="str">
        <f t="shared" si="77"/>
        <v>upgr1_5</v>
      </c>
      <c r="M211" s="1"/>
      <c r="N211" s="1"/>
      <c r="O211" s="1"/>
      <c r="P211" s="14" t="str">
        <f t="shared" ca="1" si="79"/>
        <v>MovieClipSub * upgr1_5;</v>
      </c>
      <c r="Q211" s="14" t="str">
        <f t="shared" ca="1" si="80"/>
        <v>upgr1_5= this-&gt;createMovieClipSub("upgr1_5");</v>
      </c>
    </row>
    <row r="212" spans="1:17" x14ac:dyDescent="0.25">
      <c r="A212" s="1"/>
      <c r="B212" s="3" t="s">
        <v>202</v>
      </c>
      <c r="C212" s="1">
        <f t="shared" ca="1" si="74"/>
        <v>1</v>
      </c>
      <c r="D212" s="1" t="s">
        <v>82</v>
      </c>
      <c r="E212" s="1"/>
      <c r="F212" s="1"/>
      <c r="G212" s="1" t="s">
        <v>594</v>
      </c>
      <c r="H212" s="1" t="str">
        <f t="shared" ca="1" si="75"/>
        <v>upgr1_6</v>
      </c>
      <c r="I212" s="1" t="str">
        <f ca="1">IF(C212&lt;2,"this",IF(C212=C211,I211,IF(C212&gt;C211,H211, LOOKUP(1,0/(H$2:H211=I211),I$2:I212))))</f>
        <v>this</v>
      </c>
      <c r="J212" s="1" t="str">
        <f t="shared" si="78"/>
        <v>createMovieClipSub</v>
      </c>
      <c r="K212" s="1" t="str">
        <f t="shared" si="76"/>
        <v>upgr1_6</v>
      </c>
      <c r="L212" s="1" t="str">
        <f t="shared" si="77"/>
        <v>upgr1_6</v>
      </c>
      <c r="M212" s="1"/>
      <c r="N212" s="1"/>
      <c r="O212" s="1"/>
      <c r="P212" s="14" t="str">
        <f t="shared" ca="1" si="79"/>
        <v>MovieClipSub * upgr1_6;</v>
      </c>
      <c r="Q212" s="14" t="str">
        <f t="shared" ca="1" si="80"/>
        <v>upgr1_6= this-&gt;createMovieClipSub("upgr1_6");</v>
      </c>
    </row>
    <row r="213" spans="1:17" x14ac:dyDescent="0.25">
      <c r="A213" s="1"/>
      <c r="B213" s="3" t="s">
        <v>203</v>
      </c>
      <c r="C213" s="1">
        <f t="shared" ca="1" si="74"/>
        <v>1</v>
      </c>
      <c r="D213" s="1" t="s">
        <v>82</v>
      </c>
      <c r="E213" s="1"/>
      <c r="F213" s="1"/>
      <c r="G213" s="1" t="s">
        <v>594</v>
      </c>
      <c r="H213" s="1" t="str">
        <f t="shared" ca="1" si="75"/>
        <v>upgr1_7</v>
      </c>
      <c r="I213" s="1" t="str">
        <f ca="1">IF(C213&lt;2,"this",IF(C213=C212,I212,IF(C213&gt;C212,H212, LOOKUP(1,0/(H$2:H212=I212),I$2:I213))))</f>
        <v>this</v>
      </c>
      <c r="J213" s="1" t="str">
        <f t="shared" si="78"/>
        <v>createMovieClipSub</v>
      </c>
      <c r="K213" s="1" t="str">
        <f t="shared" si="76"/>
        <v>upgr1_7</v>
      </c>
      <c r="L213" s="1" t="str">
        <f t="shared" si="77"/>
        <v>upgr1_7</v>
      </c>
      <c r="M213" s="1"/>
      <c r="N213" s="1"/>
      <c r="O213" s="1"/>
      <c r="P213" s="14" t="str">
        <f t="shared" ca="1" si="79"/>
        <v>MovieClipSub * upgr1_7;</v>
      </c>
      <c r="Q213" s="14" t="str">
        <f t="shared" ca="1" si="80"/>
        <v>upgr1_7= this-&gt;createMovieClipSub("upgr1_7");</v>
      </c>
    </row>
    <row r="214" spans="1:17" x14ac:dyDescent="0.25">
      <c r="A214" s="1"/>
      <c r="B214" s="3" t="s">
        <v>204</v>
      </c>
      <c r="C214" s="1">
        <f t="shared" ref="C214:C230" ca="1" si="81">indent(B214)</f>
        <v>1</v>
      </c>
      <c r="D214" s="1" t="s">
        <v>82</v>
      </c>
      <c r="E214" s="1"/>
      <c r="F214" s="1"/>
      <c r="G214" s="1" t="s">
        <v>594</v>
      </c>
      <c r="H214" s="1" t="str">
        <f t="shared" ca="1" si="75"/>
        <v>upgr1_8</v>
      </c>
      <c r="I214" s="1" t="str">
        <f ca="1">IF(C214&lt;2,"this",IF(C214=C213,I213,IF(C214&gt;C213,H213, LOOKUP(1,0/(H$2:H213=I213),I$2:I214))))</f>
        <v>this</v>
      </c>
      <c r="J214" s="1" t="str">
        <f t="shared" si="78"/>
        <v>createMovieClipSub</v>
      </c>
      <c r="K214" s="1" t="str">
        <f t="shared" si="76"/>
        <v>upgr1_8</v>
      </c>
      <c r="L214" s="1" t="str">
        <f t="shared" si="77"/>
        <v>upgr1_8</v>
      </c>
      <c r="M214" s="1"/>
      <c r="N214" s="1"/>
      <c r="O214" s="1"/>
      <c r="P214" s="14" t="str">
        <f t="shared" ca="1" si="79"/>
        <v>MovieClipSub * upgr1_8;</v>
      </c>
      <c r="Q214" s="14" t="str">
        <f t="shared" ca="1" si="80"/>
        <v>upgr1_8= this-&gt;createMovieClipSub("upgr1_8");</v>
      </c>
    </row>
    <row r="215" spans="1:17" x14ac:dyDescent="0.25">
      <c r="A215" s="1" t="s">
        <v>205</v>
      </c>
      <c r="B215" s="29" t="s">
        <v>206</v>
      </c>
      <c r="C215" s="1">
        <f t="shared" ca="1" si="81"/>
        <v>0</v>
      </c>
      <c r="D215" s="1" t="s">
        <v>82</v>
      </c>
      <c r="E215" s="1"/>
      <c r="F215" s="1"/>
      <c r="G215" s="21" t="s">
        <v>595</v>
      </c>
      <c r="H215" s="1" t="str">
        <f t="shared" ref="H215:H230" ca="1" si="82">IF(OR(I215="this",LEN(I215)&lt;2),B215,CONCATENATE(I215, UPPER(LEFT(B215,1)) &amp; RIGHT(B215,LEN(B215)-1) ))</f>
        <v>Tower8_mc</v>
      </c>
      <c r="I215" s="1" t="str">
        <f ca="1">IF(C215&lt;2,"this",IF(C215=C214,I214,IF(C215&gt;C214,H214, LOOKUP(1,0/(H$2:H214=I214),I$2:I215))))</f>
        <v>this</v>
      </c>
      <c r="J215" s="1" t="str">
        <f t="shared" si="78"/>
        <v>createMovieClip</v>
      </c>
      <c r="K215" s="1" t="str">
        <f t="shared" ref="K215:K230" si="83">B215</f>
        <v>Tower8_mc</v>
      </c>
      <c r="L215" s="1" t="str">
        <f t="shared" ref="L215:L230" si="84">B215</f>
        <v>Tower8_mc</v>
      </c>
      <c r="M215" s="1"/>
      <c r="N215" s="1"/>
      <c r="O215" s="1"/>
      <c r="P215" s="14" t="str">
        <f t="shared" ca="1" si="79"/>
        <v/>
      </c>
      <c r="Q215" s="14" t="str">
        <f t="shared" ca="1" si="80"/>
        <v>Tower8_mc::Tower8_mc:MovieClip("tower","Tower8_mc","Tower8_mc"{)</v>
      </c>
    </row>
    <row r="216" spans="1:17" x14ac:dyDescent="0.25">
      <c r="A216" s="1"/>
      <c r="B216" s="3" t="s">
        <v>219</v>
      </c>
      <c r="C216" s="1">
        <f t="shared" ca="1" si="81"/>
        <v>1</v>
      </c>
      <c r="D216" s="1" t="s">
        <v>82</v>
      </c>
      <c r="E216" s="1"/>
      <c r="F216" s="1"/>
      <c r="G216" s="1" t="s">
        <v>594</v>
      </c>
      <c r="H216" s="1" t="str">
        <f t="shared" ca="1" si="82"/>
        <v>blockTower</v>
      </c>
      <c r="I216" s="1" t="str">
        <f ca="1">IF(C216&lt;2,"this",IF(C216=C215,I215,IF(C216&gt;C215,H215, LOOKUP(1,0/(H$2:H215=I215),I$2:I216))))</f>
        <v>this</v>
      </c>
      <c r="J216" s="1" t="str">
        <f t="shared" si="78"/>
        <v>createMovieClipSub</v>
      </c>
      <c r="K216" s="1" t="str">
        <f t="shared" si="83"/>
        <v>blockTower</v>
      </c>
      <c r="L216" s="1" t="str">
        <f t="shared" si="84"/>
        <v>blockTower</v>
      </c>
      <c r="M216" s="1"/>
      <c r="N216" s="1"/>
      <c r="O216" s="1"/>
      <c r="P216" s="14" t="str">
        <f t="shared" ca="1" si="79"/>
        <v>MovieClipSub * blockTower;</v>
      </c>
      <c r="Q216" s="14" t="str">
        <f t="shared" ca="1" si="80"/>
        <v>blockTower= this-&gt;createMovieClipSub("blockTower");</v>
      </c>
    </row>
    <row r="217" spans="1:17" x14ac:dyDescent="0.25">
      <c r="A217" s="1"/>
      <c r="B217" s="3" t="s">
        <v>165</v>
      </c>
      <c r="C217" s="1">
        <f t="shared" ca="1" si="81"/>
        <v>1</v>
      </c>
      <c r="D217" s="1" t="s">
        <v>82</v>
      </c>
      <c r="E217" s="1"/>
      <c r="F217" s="1"/>
      <c r="G217" s="1" t="s">
        <v>594</v>
      </c>
      <c r="H217" s="1" t="str">
        <f t="shared" ca="1" si="82"/>
        <v>boneBlock</v>
      </c>
      <c r="I217" s="1" t="str">
        <f ca="1">IF(C217&lt;2,"this",IF(C217=C216,I216,IF(C217&gt;C216,H216, LOOKUP(1,0/(H$2:H216=I216),I$2:I217))))</f>
        <v>this</v>
      </c>
      <c r="J217" s="1" t="str">
        <f t="shared" si="78"/>
        <v>createMovieClipSub</v>
      </c>
      <c r="K217" s="1" t="str">
        <f t="shared" si="83"/>
        <v>boneBlock</v>
      </c>
      <c r="L217" s="1" t="str">
        <f t="shared" si="84"/>
        <v>boneBlock</v>
      </c>
      <c r="M217" s="1"/>
      <c r="N217" s="1"/>
      <c r="O217" s="1"/>
      <c r="P217" s="14" t="str">
        <f t="shared" ca="1" si="79"/>
        <v>MovieClipSub * boneBlock;</v>
      </c>
      <c r="Q217" s="14" t="str">
        <f t="shared" ca="1" si="80"/>
        <v>boneBlock= this-&gt;createMovieClipSub("boneBlock");</v>
      </c>
    </row>
    <row r="218" spans="1:17" x14ac:dyDescent="0.25">
      <c r="A218" s="1"/>
      <c r="B218" s="3" t="s">
        <v>167</v>
      </c>
      <c r="C218" s="1">
        <f t="shared" ca="1" si="81"/>
        <v>1</v>
      </c>
      <c r="D218" s="1" t="s">
        <v>82</v>
      </c>
      <c r="E218" s="1"/>
      <c r="F218" s="1"/>
      <c r="G218" s="1" t="s">
        <v>682</v>
      </c>
      <c r="H218" s="1" t="str">
        <f t="shared" ca="1" si="82"/>
        <v>towerCase</v>
      </c>
      <c r="I218" s="1" t="str">
        <f ca="1">IF(C218&lt;2,"this",IF(C218=C217,I217,IF(C218&gt;C217,H217, LOOKUP(1,0/(H$2:H217=I217),I$2:I218))))</f>
        <v>this</v>
      </c>
      <c r="J218" s="1" t="str">
        <f t="shared" si="78"/>
        <v>createCase</v>
      </c>
      <c r="K218" s="1" t="str">
        <f t="shared" si="83"/>
        <v>towerCase</v>
      </c>
      <c r="L218" s="1" t="str">
        <f t="shared" si="84"/>
        <v>towerCase</v>
      </c>
      <c r="M218" s="1"/>
      <c r="N218" s="1"/>
      <c r="O218" s="1"/>
      <c r="P218" s="14" t="str">
        <f t="shared" ca="1" si="79"/>
        <v>MCCase * towerCase;</v>
      </c>
      <c r="Q218" s="14" t="str">
        <f t="shared" ca="1" si="80"/>
        <v>towerCase= this-&gt;createCase("towerCase");</v>
      </c>
    </row>
    <row r="219" spans="1:17" x14ac:dyDescent="0.25">
      <c r="A219" s="1"/>
      <c r="B219" s="3" t="s">
        <v>191</v>
      </c>
      <c r="C219" s="1">
        <f t="shared" ca="1" si="81"/>
        <v>1</v>
      </c>
      <c r="D219" s="1" t="s">
        <v>82</v>
      </c>
      <c r="E219" s="1"/>
      <c r="F219" s="1"/>
      <c r="G219" s="1" t="s">
        <v>594</v>
      </c>
      <c r="H219" s="1" t="str">
        <f t="shared" ca="1" si="82"/>
        <v>cont1</v>
      </c>
      <c r="I219" s="1" t="str">
        <f ca="1">IF(C219&lt;2,"this",IF(C219=C218,I218,IF(C219&gt;C218,H218, LOOKUP(1,0/(H$2:H218=I218),I$2:I219))))</f>
        <v>this</v>
      </c>
      <c r="J219" s="1" t="str">
        <f t="shared" si="78"/>
        <v>createMovieClipSub</v>
      </c>
      <c r="K219" s="1" t="str">
        <f t="shared" si="83"/>
        <v>cont1</v>
      </c>
      <c r="L219" s="1" t="str">
        <f t="shared" si="84"/>
        <v>cont1</v>
      </c>
      <c r="M219" s="1"/>
      <c r="N219" s="1"/>
      <c r="O219" s="1"/>
      <c r="P219" s="14" t="str">
        <f t="shared" ca="1" si="79"/>
        <v>MovieClipSub * cont1;</v>
      </c>
      <c r="Q219" s="14" t="str">
        <f t="shared" ca="1" si="80"/>
        <v>cont1= this-&gt;createMovieClipSub("cont1");</v>
      </c>
    </row>
    <row r="220" spans="1:17" x14ac:dyDescent="0.25">
      <c r="A220" s="1"/>
      <c r="B220" s="3" t="s">
        <v>192</v>
      </c>
      <c r="C220" s="1">
        <f t="shared" ca="1" si="81"/>
        <v>1</v>
      </c>
      <c r="D220" s="1" t="s">
        <v>82</v>
      </c>
      <c r="E220" s="1"/>
      <c r="F220" s="1"/>
      <c r="G220" s="1" t="s">
        <v>594</v>
      </c>
      <c r="H220" s="1" t="str">
        <f t="shared" ca="1" si="82"/>
        <v>cont2</v>
      </c>
      <c r="I220" s="1" t="str">
        <f ca="1">IF(C220&lt;2,"this",IF(C220=C219,I219,IF(C220&gt;C219,H219, LOOKUP(1,0/(H$2:H219=I219),I$2:I220))))</f>
        <v>this</v>
      </c>
      <c r="J220" s="1" t="str">
        <f t="shared" si="78"/>
        <v>createMovieClipSub</v>
      </c>
      <c r="K220" s="1" t="str">
        <f t="shared" si="83"/>
        <v>cont2</v>
      </c>
      <c r="L220" s="1" t="str">
        <f t="shared" si="84"/>
        <v>cont2</v>
      </c>
      <c r="M220" s="1"/>
      <c r="N220" s="1"/>
      <c r="O220" s="1"/>
      <c r="P220" s="14" t="str">
        <f t="shared" ca="1" si="79"/>
        <v>MovieClipSub * cont2;</v>
      </c>
      <c r="Q220" s="14" t="str">
        <f t="shared" ca="1" si="80"/>
        <v>cont2= this-&gt;createMovieClipSub("cont2");</v>
      </c>
    </row>
    <row r="221" spans="1:17" x14ac:dyDescent="0.25">
      <c r="A221" s="1"/>
      <c r="B221" s="3" t="s">
        <v>193</v>
      </c>
      <c r="C221" s="1">
        <f t="shared" ca="1" si="81"/>
        <v>1</v>
      </c>
      <c r="D221" s="1" t="s">
        <v>82</v>
      </c>
      <c r="E221" s="1"/>
      <c r="F221" s="1"/>
      <c r="G221" s="1" t="s">
        <v>594</v>
      </c>
      <c r="H221" s="1" t="str">
        <f t="shared" ca="1" si="82"/>
        <v>cont3</v>
      </c>
      <c r="I221" s="1" t="str">
        <f ca="1">IF(C221&lt;2,"this",IF(C221=C220,I220,IF(C221&gt;C220,H220, LOOKUP(1,0/(H$2:H220=I220),I$2:I221))))</f>
        <v>this</v>
      </c>
      <c r="J221" s="1" t="str">
        <f t="shared" si="78"/>
        <v>createMovieClipSub</v>
      </c>
      <c r="K221" s="1" t="str">
        <f t="shared" si="83"/>
        <v>cont3</v>
      </c>
      <c r="L221" s="1" t="str">
        <f t="shared" si="84"/>
        <v>cont3</v>
      </c>
      <c r="M221" s="1"/>
      <c r="N221" s="1"/>
      <c r="O221" s="1"/>
      <c r="P221" s="14" t="str">
        <f t="shared" ca="1" si="79"/>
        <v>MovieClipSub * cont3;</v>
      </c>
      <c r="Q221" s="14" t="str">
        <f t="shared" ca="1" si="80"/>
        <v>cont3= this-&gt;createMovieClipSub("cont3");</v>
      </c>
    </row>
    <row r="222" spans="1:17" x14ac:dyDescent="0.25">
      <c r="A222" s="1"/>
      <c r="B222" s="3" t="s">
        <v>209</v>
      </c>
      <c r="C222" s="1">
        <f t="shared" ca="1" si="81"/>
        <v>1</v>
      </c>
      <c r="D222" s="1" t="s">
        <v>82</v>
      </c>
      <c r="E222" s="1"/>
      <c r="F222" s="1"/>
      <c r="G222" s="1" t="s">
        <v>594</v>
      </c>
      <c r="H222" s="1" t="str">
        <f t="shared" ca="1" si="82"/>
        <v>cont4</v>
      </c>
      <c r="I222" s="1" t="str">
        <f ca="1">IF(C222&lt;2,"this",IF(C222=C221,I221,IF(C222&gt;C221,H221, LOOKUP(1,0/(H$2:H221=I221),I$2:I222))))</f>
        <v>this</v>
      </c>
      <c r="J222" s="1" t="str">
        <f t="shared" si="78"/>
        <v>createMovieClipSub</v>
      </c>
      <c r="K222" s="1" t="str">
        <f t="shared" si="83"/>
        <v>cont4</v>
      </c>
      <c r="L222" s="1" t="str">
        <f t="shared" si="84"/>
        <v>cont4</v>
      </c>
      <c r="M222" s="1"/>
      <c r="N222" s="1"/>
      <c r="O222" s="1"/>
      <c r="P222" s="14" t="str">
        <f t="shared" ca="1" si="79"/>
        <v>MovieClipSub * cont4;</v>
      </c>
      <c r="Q222" s="14" t="str">
        <f t="shared" ca="1" si="80"/>
        <v>cont4= this-&gt;createMovieClipSub("cont4");</v>
      </c>
    </row>
    <row r="223" spans="1:17" x14ac:dyDescent="0.25">
      <c r="A223" s="1"/>
      <c r="B223" s="3" t="s">
        <v>210</v>
      </c>
      <c r="C223" s="1">
        <f t="shared" ca="1" si="81"/>
        <v>1</v>
      </c>
      <c r="D223" s="1" t="s">
        <v>82</v>
      </c>
      <c r="E223" s="1"/>
      <c r="F223" s="1"/>
      <c r="G223" s="1" t="s">
        <v>594</v>
      </c>
      <c r="H223" s="1" t="str">
        <f t="shared" ca="1" si="82"/>
        <v>cont5</v>
      </c>
      <c r="I223" s="1" t="str">
        <f ca="1">IF(C223&lt;2,"this",IF(C223=C222,I222,IF(C223&gt;C222,H222, LOOKUP(1,0/(H$2:H222=I222),I$2:I223))))</f>
        <v>this</v>
      </c>
      <c r="J223" s="1" t="str">
        <f t="shared" si="78"/>
        <v>createMovieClipSub</v>
      </c>
      <c r="K223" s="1" t="str">
        <f t="shared" si="83"/>
        <v>cont5</v>
      </c>
      <c r="L223" s="1" t="str">
        <f t="shared" si="84"/>
        <v>cont5</v>
      </c>
      <c r="M223" s="1"/>
      <c r="N223" s="1"/>
      <c r="O223" s="1"/>
      <c r="P223" s="14" t="str">
        <f t="shared" ca="1" si="79"/>
        <v>MovieClipSub * cont5;</v>
      </c>
      <c r="Q223" s="14" t="str">
        <f t="shared" ca="1" si="80"/>
        <v>cont5= this-&gt;createMovieClipSub("cont5");</v>
      </c>
    </row>
    <row r="224" spans="1:17" x14ac:dyDescent="0.25">
      <c r="A224" s="1"/>
      <c r="B224" s="3" t="s">
        <v>211</v>
      </c>
      <c r="C224" s="1">
        <f t="shared" ca="1" si="81"/>
        <v>1</v>
      </c>
      <c r="D224" s="1" t="s">
        <v>82</v>
      </c>
      <c r="E224" s="1"/>
      <c r="F224" s="1"/>
      <c r="G224" s="1" t="s">
        <v>594</v>
      </c>
      <c r="H224" s="1" t="str">
        <f t="shared" ca="1" si="82"/>
        <v>cont6</v>
      </c>
      <c r="I224" s="1" t="str">
        <f ca="1">IF(C224&lt;2,"this",IF(C224=C223,I223,IF(C224&gt;C223,H223, LOOKUP(1,0/(H$2:H223=I223),I$2:I224))))</f>
        <v>this</v>
      </c>
      <c r="J224" s="1" t="str">
        <f t="shared" si="78"/>
        <v>createMovieClipSub</v>
      </c>
      <c r="K224" s="1" t="str">
        <f t="shared" si="83"/>
        <v>cont6</v>
      </c>
      <c r="L224" s="1" t="str">
        <f t="shared" si="84"/>
        <v>cont6</v>
      </c>
      <c r="M224" s="1"/>
      <c r="N224" s="1"/>
      <c r="O224" s="1"/>
      <c r="P224" s="14" t="str">
        <f t="shared" ca="1" si="79"/>
        <v>MovieClipSub * cont6;</v>
      </c>
      <c r="Q224" s="14" t="str">
        <f t="shared" ca="1" si="80"/>
        <v>cont6= this-&gt;createMovieClipSub("cont6");</v>
      </c>
    </row>
    <row r="225" spans="1:17" x14ac:dyDescent="0.25">
      <c r="A225" s="1"/>
      <c r="B225" s="3" t="s">
        <v>208</v>
      </c>
      <c r="C225" s="1">
        <f t="shared" ca="1" si="81"/>
        <v>1</v>
      </c>
      <c r="D225" s="1" t="s">
        <v>82</v>
      </c>
      <c r="E225" s="1"/>
      <c r="F225" s="1"/>
      <c r="G225" s="1" t="s">
        <v>594</v>
      </c>
      <c r="H225" s="1" t="str">
        <f t="shared" ca="1" si="82"/>
        <v>fireLight1</v>
      </c>
      <c r="I225" s="1" t="str">
        <f ca="1">IF(C225&lt;2,"this",IF(C225=C224,I224,IF(C225&gt;C224,H224, LOOKUP(1,0/(H$2:H224=I224),I$2:I225))))</f>
        <v>this</v>
      </c>
      <c r="J225" s="1" t="str">
        <f t="shared" si="78"/>
        <v>createMovieClipSub</v>
      </c>
      <c r="K225" s="1" t="str">
        <f t="shared" si="83"/>
        <v>fireLight1</v>
      </c>
      <c r="L225" s="1" t="str">
        <f t="shared" si="84"/>
        <v>fireLight1</v>
      </c>
      <c r="M225" s="1"/>
      <c r="N225" s="1"/>
      <c r="O225" s="1"/>
      <c r="P225" s="14" t="str">
        <f t="shared" ca="1" si="79"/>
        <v>MovieClipSub * fireLight1;</v>
      </c>
      <c r="Q225" s="14" t="str">
        <f t="shared" ca="1" si="80"/>
        <v>fireLight1= this-&gt;createMovieClipSub("fireLight1");</v>
      </c>
    </row>
    <row r="226" spans="1:17" x14ac:dyDescent="0.25">
      <c r="A226" s="1" t="s">
        <v>297</v>
      </c>
      <c r="B226" s="21" t="s">
        <v>721</v>
      </c>
      <c r="C226" s="1">
        <f t="shared" ca="1" si="81"/>
        <v>0</v>
      </c>
      <c r="D226" s="1" t="s">
        <v>82</v>
      </c>
      <c r="E226" s="1"/>
      <c r="F226" s="1"/>
      <c r="G226" s="21" t="s">
        <v>595</v>
      </c>
      <c r="H226" s="1" t="str">
        <f t="shared" ca="1" si="82"/>
        <v>Exchange_mc</v>
      </c>
      <c r="I226" s="1" t="str">
        <f ca="1">IF(C226&lt;2,"this",IF(C226=C225,I225,IF(C226&gt;C225,H225, LOOKUP(1,0/(H$2:H225=I225),I$2:I226))))</f>
        <v>this</v>
      </c>
      <c r="J226" s="1" t="str">
        <f t="shared" si="78"/>
        <v>createMovieClip</v>
      </c>
      <c r="K226" s="1" t="str">
        <f t="shared" si="83"/>
        <v>Exchange_mc</v>
      </c>
      <c r="L226" s="1" t="str">
        <f t="shared" si="84"/>
        <v>Exchange_mc</v>
      </c>
      <c r="M226" s="1"/>
      <c r="N226" s="1"/>
      <c r="O226" s="1"/>
      <c r="P226" s="14" t="str">
        <f t="shared" ca="1" si="79"/>
        <v/>
      </c>
      <c r="Q226" s="14" t="str">
        <f t="shared" ca="1" si="80"/>
        <v>Exchange_mc::Exchange_mc:MovieClip("tower","Exchange_mc","Exchange_mc"{)</v>
      </c>
    </row>
    <row r="227" spans="1:17" x14ac:dyDescent="0.25">
      <c r="A227" s="1"/>
      <c r="B227" s="3" t="s">
        <v>299</v>
      </c>
      <c r="C227" s="1">
        <f t="shared" ca="1" si="81"/>
        <v>1</v>
      </c>
      <c r="D227" s="1" t="s">
        <v>82</v>
      </c>
      <c r="E227" s="1"/>
      <c r="F227" s="1"/>
      <c r="G227" s="1" t="s">
        <v>682</v>
      </c>
      <c r="H227" s="1" t="str">
        <f t="shared" ca="1" si="82"/>
        <v>exchangeCase</v>
      </c>
      <c r="I227" s="1" t="str">
        <f ca="1">IF(C227&lt;2,"this",IF(C227=C226,I226,IF(C227&gt;C226,H226, LOOKUP(1,0/(H$2:H226=I226),I$2:I227))))</f>
        <v>this</v>
      </c>
      <c r="J227" s="1" t="str">
        <f t="shared" si="78"/>
        <v>createCase</v>
      </c>
      <c r="K227" s="1" t="str">
        <f t="shared" si="83"/>
        <v>exchangeCase</v>
      </c>
      <c r="L227" s="1" t="str">
        <f t="shared" si="84"/>
        <v>exchangeCase</v>
      </c>
      <c r="M227" s="1"/>
      <c r="N227" s="1"/>
      <c r="O227" s="1"/>
      <c r="P227" s="14" t="str">
        <f t="shared" ca="1" si="79"/>
        <v>MCCase * exchangeCase;</v>
      </c>
      <c r="Q227" s="14" t="str">
        <f t="shared" ca="1" si="80"/>
        <v>exchangeCase= this-&gt;createCase("exchangeCase");</v>
      </c>
    </row>
    <row r="228" spans="1:17" x14ac:dyDescent="0.25">
      <c r="A228" s="1"/>
      <c r="B228" s="21" t="s">
        <v>298</v>
      </c>
      <c r="C228" s="1">
        <f t="shared" ca="1" si="81"/>
        <v>0</v>
      </c>
      <c r="D228" s="1" t="s">
        <v>82</v>
      </c>
      <c r="E228" s="1"/>
      <c r="F228" s="1"/>
      <c r="G228" s="21" t="s">
        <v>595</v>
      </c>
      <c r="H228" s="1" t="str">
        <f t="shared" ca="1" si="82"/>
        <v>Exchange1_mc</v>
      </c>
      <c r="I228" s="1" t="str">
        <f ca="1">IF(C228&lt;2,"this",IF(C228=C227,I227,IF(C228&gt;C227,H227, LOOKUP(1,0/(H$2:H227=I227),I$2:I228))))</f>
        <v>this</v>
      </c>
      <c r="J228" s="1" t="str">
        <f t="shared" si="78"/>
        <v>createMovieClip</v>
      </c>
      <c r="K228" s="1" t="str">
        <f t="shared" si="83"/>
        <v>Exchange1_mc</v>
      </c>
      <c r="L228" s="1" t="str">
        <f t="shared" si="84"/>
        <v>Exchange1_mc</v>
      </c>
      <c r="M228" s="1"/>
      <c r="N228" s="1"/>
      <c r="O228" s="1"/>
      <c r="P228" s="14" t="str">
        <f t="shared" ca="1" si="79"/>
        <v/>
      </c>
      <c r="Q228" s="14" t="str">
        <f t="shared" ca="1" si="80"/>
        <v>Exchange1_mc::Exchange1_mc:MovieClip("tower","Exchange1_mc","Exchange1_mc"{)</v>
      </c>
    </row>
    <row r="229" spans="1:17" x14ac:dyDescent="0.25">
      <c r="A229" s="1"/>
      <c r="B229" s="3" t="s">
        <v>89</v>
      </c>
      <c r="C229" s="1">
        <f t="shared" ca="1" si="81"/>
        <v>1</v>
      </c>
      <c r="D229" s="1" t="s">
        <v>82</v>
      </c>
      <c r="E229" s="1"/>
      <c r="F229" s="1"/>
      <c r="G229" s="1" t="s">
        <v>594</v>
      </c>
      <c r="H229" s="1" t="str">
        <f t="shared" ca="1" si="82"/>
        <v>cross</v>
      </c>
      <c r="I229" s="1" t="str">
        <f ca="1">IF(C229&lt;2,"this",IF(C229=C228,I228,IF(C229&gt;C228,H228, LOOKUP(1,0/(H$2:H228=I228),I$2:I229))))</f>
        <v>this</v>
      </c>
      <c r="J229" s="1" t="str">
        <f t="shared" si="78"/>
        <v>createMovieClipSub</v>
      </c>
      <c r="K229" s="1" t="str">
        <f t="shared" si="83"/>
        <v>cross</v>
      </c>
      <c r="L229" s="1" t="str">
        <f t="shared" si="84"/>
        <v>cross</v>
      </c>
      <c r="M229" s="1"/>
      <c r="N229" s="1"/>
      <c r="O229" s="1"/>
      <c r="P229" s="14" t="str">
        <f t="shared" ca="1" si="79"/>
        <v>MovieClipSub * cross;</v>
      </c>
      <c r="Q229" s="14" t="str">
        <f t="shared" ca="1" si="80"/>
        <v>cross= this-&gt;createMovieClipSub("cross");</v>
      </c>
    </row>
    <row r="230" spans="1:17" x14ac:dyDescent="0.25">
      <c r="A230" s="1"/>
      <c r="B230" s="3" t="s">
        <v>299</v>
      </c>
      <c r="C230" s="1">
        <f t="shared" ca="1" si="81"/>
        <v>1</v>
      </c>
      <c r="D230" s="1" t="s">
        <v>82</v>
      </c>
      <c r="E230" s="1"/>
      <c r="F230" s="1"/>
      <c r="G230" s="1" t="s">
        <v>682</v>
      </c>
      <c r="H230" s="1" t="str">
        <f t="shared" ca="1" si="82"/>
        <v>exchangeCase</v>
      </c>
      <c r="I230" s="1" t="str">
        <f ca="1">IF(C230&lt;2,"this",IF(C230=C229,I229,IF(C230&gt;C229,H229, LOOKUP(1,0/(H$2:H229=I229),I$2:I230))))</f>
        <v>this</v>
      </c>
      <c r="J230" s="1" t="str">
        <f t="shared" si="78"/>
        <v>createCase</v>
      </c>
      <c r="K230" s="1" t="str">
        <f t="shared" si="83"/>
        <v>exchangeCase</v>
      </c>
      <c r="L230" s="1" t="str">
        <f t="shared" si="84"/>
        <v>exchangeCase</v>
      </c>
      <c r="M230" s="1"/>
      <c r="N230" s="1"/>
      <c r="O230" s="1"/>
      <c r="P230" s="14" t="str">
        <f t="shared" ca="1" si="79"/>
        <v>MCCase * exchangeCase;</v>
      </c>
      <c r="Q230" s="14" t="str">
        <f t="shared" ca="1" si="80"/>
        <v>exchangeCase= this-&gt;createCase("exchangeCase");</v>
      </c>
    </row>
  </sheetData>
  <mergeCells count="8">
    <mergeCell ref="A127:A128"/>
    <mergeCell ref="A8:A11"/>
    <mergeCell ref="A45:A49"/>
    <mergeCell ref="M72:O72"/>
    <mergeCell ref="A90:A93"/>
    <mergeCell ref="A96:A99"/>
    <mergeCell ref="A105:A106"/>
    <mergeCell ref="A113:A11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6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M6" sqref="M6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616</v>
      </c>
      <c r="I1" s="2" t="s">
        <v>619</v>
      </c>
      <c r="J1" s="2" t="s">
        <v>618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x14ac:dyDescent="0.25">
      <c r="A2" s="1" t="s">
        <v>78</v>
      </c>
      <c r="B2" s="1" t="s">
        <v>90</v>
      </c>
      <c r="C2" s="1">
        <f t="shared" ref="C2:C26" ca="1" si="0">indent(B2)</f>
        <v>0</v>
      </c>
      <c r="D2" s="1" t="s">
        <v>91</v>
      </c>
      <c r="E2" s="1" t="s">
        <v>722</v>
      </c>
      <c r="F2" s="1" t="s">
        <v>708</v>
      </c>
      <c r="G2" s="21" t="s">
        <v>595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79</v>
      </c>
      <c r="C3" s="1">
        <f t="shared" ca="1" si="0"/>
        <v>0</v>
      </c>
      <c r="D3" s="1" t="s">
        <v>91</v>
      </c>
      <c r="E3" s="1" t="s">
        <v>722</v>
      </c>
      <c r="F3" s="1" t="s">
        <v>708</v>
      </c>
      <c r="G3" s="21" t="s">
        <v>595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6" ca="1" si="4">IF(C3&gt;0,G3 &amp; " * "&amp;H3 &amp;";","")</f>
        <v/>
      </c>
      <c r="Q3" s="14" t="str">
        <f t="shared" ref="Q3:Q26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80</v>
      </c>
      <c r="C4" s="1">
        <f t="shared" ca="1" si="0"/>
        <v>0</v>
      </c>
      <c r="D4" s="1" t="s">
        <v>91</v>
      </c>
      <c r="E4" s="1" t="s">
        <v>722</v>
      </c>
      <c r="F4" s="1" t="s">
        <v>708</v>
      </c>
      <c r="G4" s="21" t="s">
        <v>595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81</v>
      </c>
      <c r="C5" s="1">
        <f t="shared" ca="1" si="0"/>
        <v>0</v>
      </c>
      <c r="D5" s="1" t="s">
        <v>91</v>
      </c>
      <c r="E5" s="1" t="s">
        <v>722</v>
      </c>
      <c r="F5" s="1" t="s">
        <v>708</v>
      </c>
      <c r="G5" s="21" t="s">
        <v>595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709</v>
      </c>
      <c r="B6" s="1" t="s">
        <v>707</v>
      </c>
      <c r="C6" s="1">
        <f t="shared" ca="1" si="0"/>
        <v>0</v>
      </c>
      <c r="D6" s="1" t="s">
        <v>91</v>
      </c>
      <c r="E6" s="1" t="s">
        <v>722</v>
      </c>
      <c r="F6" s="1" t="s">
        <v>708</v>
      </c>
      <c r="G6" s="21" t="s">
        <v>595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 t="str">
        <f t="shared" ca="1" si="4"/>
        <v/>
      </c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/>
      <c r="B7" s="3" t="s">
        <v>725</v>
      </c>
      <c r="C7" s="1">
        <f t="shared" ca="1" si="0"/>
        <v>1</v>
      </c>
      <c r="D7" s="1" t="s">
        <v>91</v>
      </c>
      <c r="E7" s="1" t="s">
        <v>722</v>
      </c>
      <c r="F7" s="1" t="s">
        <v>134</v>
      </c>
      <c r="G7" s="1" t="s">
        <v>594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"/>
      <c r="O7" s="1"/>
      <c r="P7" s="14" t="str">
        <f ca="1">IF(C7&gt;0,G7 &amp; " * "&amp;H7 &amp;";","")</f>
        <v>MovieClipSub * cont;</v>
      </c>
      <c r="Q7" s="14" t="str">
        <f t="shared" ca="1" si="5"/>
        <v>cont= this-&gt;createMovieClipSub("cont");</v>
      </c>
    </row>
    <row r="8" spans="1:17" x14ac:dyDescent="0.25">
      <c r="A8" s="1" t="s">
        <v>94</v>
      </c>
      <c r="B8" s="1" t="s">
        <v>92</v>
      </c>
      <c r="C8" s="1">
        <f t="shared" ca="1" si="0"/>
        <v>0</v>
      </c>
      <c r="D8" s="1" t="s">
        <v>91</v>
      </c>
      <c r="E8" s="1" t="s">
        <v>722</v>
      </c>
      <c r="F8" s="1" t="s">
        <v>134</v>
      </c>
      <c r="G8" s="21" t="s">
        <v>595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3"/>
        <v>createMovieClip</v>
      </c>
      <c r="K8" s="1" t="str">
        <f t="shared" si="1"/>
        <v>BulletTower5_1_mc</v>
      </c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BulletTower5_1_mc::BulletTower5_1_mc:MovieClip("sphere","BulletTower5_1_mc","BulletTower5_1_mc"{)</v>
      </c>
    </row>
    <row r="9" spans="1:17" x14ac:dyDescent="0.25">
      <c r="A9" s="1"/>
      <c r="B9" s="1" t="s">
        <v>220</v>
      </c>
      <c r="C9" s="1">
        <f t="shared" ca="1" si="0"/>
        <v>0</v>
      </c>
      <c r="D9" s="1" t="s">
        <v>91</v>
      </c>
      <c r="E9" s="1" t="s">
        <v>722</v>
      </c>
      <c r="F9" s="1" t="s">
        <v>134</v>
      </c>
      <c r="G9" s="21" t="s">
        <v>595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/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BulletTower5_1Smoke1_mc::BulletTower5_1Smoke1_mc:MovieClip("sphere","BulletTower5_1Smoke1_mc",""{)</v>
      </c>
    </row>
    <row r="10" spans="1:17" x14ac:dyDescent="0.25">
      <c r="A10" s="1"/>
      <c r="B10" s="1" t="s">
        <v>93</v>
      </c>
      <c r="C10" s="1">
        <f t="shared" ca="1" si="0"/>
        <v>0</v>
      </c>
      <c r="D10" s="1" t="s">
        <v>91</v>
      </c>
      <c r="E10" s="1" t="s">
        <v>722</v>
      </c>
      <c r="F10" s="1" t="s">
        <v>134</v>
      </c>
      <c r="G10" s="21" t="s">
        <v>595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ref="K10:K15" si="12">B10</f>
        <v>BulletTower5_1Bang_mc</v>
      </c>
      <c r="L10" s="1"/>
      <c r="M10" s="1"/>
      <c r="N10" s="1"/>
      <c r="O10" s="1"/>
      <c r="P10" s="14" t="str">
        <f t="shared" ca="1" si="4"/>
        <v/>
      </c>
      <c r="Q10" s="14" t="str">
        <f ca="1">IF(C10&gt;0,H10&amp;"= "&amp;I10&amp;"-&gt;"&amp;J10&amp;"("""&amp;K10&amp;""")"&amp;";",IF(RIGHT(B10,3)&lt;&gt;"_mc",G10&amp;"("""&amp;D10&amp;""","""&amp;B10&amp;""","""&amp;K10&amp;"""{)",B10&amp;"::"&amp;B10&amp;":"&amp;G10&amp;"("""&amp;D10&amp;""","""&amp;B10&amp;""","""&amp;K10&amp;"""{)"))</f>
        <v>BulletTower5_1Bang_mc::BulletTower5_1Bang_mc:MovieClip("sphere","BulletTower5_1Bang_mc","BulletTower5_1Bang_mc"{)</v>
      </c>
    </row>
    <row r="11" spans="1:17" x14ac:dyDescent="0.25">
      <c r="A11" s="1"/>
      <c r="B11" s="1" t="s">
        <v>101</v>
      </c>
      <c r="C11" s="1">
        <f t="shared" ca="1" si="0"/>
        <v>0</v>
      </c>
      <c r="D11" s="1" t="s">
        <v>91</v>
      </c>
      <c r="E11" s="1" t="s">
        <v>722</v>
      </c>
      <c r="F11" s="1" t="s">
        <v>134</v>
      </c>
      <c r="G11" s="21" t="s">
        <v>595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12"/>
        <v>BulletTower51_1_mc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BulletTower51_1_mc::BulletTower51_1_mc:MovieClip("sphere","BulletTower51_1_mc","BulletTower51_1_mc"{)</v>
      </c>
    </row>
    <row r="12" spans="1:17" x14ac:dyDescent="0.25">
      <c r="A12" s="1"/>
      <c r="B12" s="1" t="s">
        <v>100</v>
      </c>
      <c r="C12" s="1">
        <f t="shared" ca="1" si="0"/>
        <v>0</v>
      </c>
      <c r="D12" s="1" t="s">
        <v>91</v>
      </c>
      <c r="E12" s="1" t="s">
        <v>722</v>
      </c>
      <c r="F12" s="1" t="s">
        <v>134</v>
      </c>
      <c r="G12" s="21" t="s">
        <v>595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12"/>
        <v>BulletTower51_2_mc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BulletTower51_2_mc::BulletTower51_2_mc:MovieClip("sphere","BulletTower51_2_mc","BulletTower51_2_mc"{)</v>
      </c>
    </row>
    <row r="13" spans="1:17" x14ac:dyDescent="0.25">
      <c r="A13" s="1"/>
      <c r="B13" s="1" t="s">
        <v>99</v>
      </c>
      <c r="C13" s="1">
        <f t="shared" ca="1" si="0"/>
        <v>0</v>
      </c>
      <c r="D13" s="1" t="s">
        <v>91</v>
      </c>
      <c r="E13" s="1" t="s">
        <v>722</v>
      </c>
      <c r="F13" s="1" t="s">
        <v>134</v>
      </c>
      <c r="G13" s="21" t="s">
        <v>595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12"/>
        <v>BulletTower6_1_mc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BulletTower6_1_mc::BulletTower6_1_mc:MovieClip("sphere","BulletTower6_1_mc","BulletTower6_1_mc"{)</v>
      </c>
    </row>
    <row r="14" spans="1:17" x14ac:dyDescent="0.25">
      <c r="A14" s="1"/>
      <c r="B14" s="1" t="s">
        <v>98</v>
      </c>
      <c r="C14" s="1">
        <f t="shared" ca="1" si="0"/>
        <v>0</v>
      </c>
      <c r="D14" s="1" t="s">
        <v>91</v>
      </c>
      <c r="E14" s="1" t="s">
        <v>722</v>
      </c>
      <c r="F14" s="1" t="s">
        <v>134</v>
      </c>
      <c r="G14" s="21" t="s">
        <v>595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12"/>
        <v>BulletTower6_2_mc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BulletTower6_2_mc::BulletTower6_2_mc:MovieClip("sphere","BulletTower6_2_mc","BulletTower6_2_mc"{)</v>
      </c>
    </row>
    <row r="15" spans="1:17" x14ac:dyDescent="0.25">
      <c r="A15" s="1"/>
      <c r="B15" s="1" t="s">
        <v>97</v>
      </c>
      <c r="C15" s="1">
        <f t="shared" ca="1" si="0"/>
        <v>0</v>
      </c>
      <c r="D15" s="1" t="s">
        <v>91</v>
      </c>
      <c r="E15" s="1" t="s">
        <v>722</v>
      </c>
      <c r="F15" s="1" t="s">
        <v>134</v>
      </c>
      <c r="G15" s="21" t="s">
        <v>595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12"/>
        <v>BulletTower61_mc</v>
      </c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BulletTower61_mc::BulletTower61_mc:MovieClip("sphere","BulletTower61_mc","BulletTower61_mc"{)</v>
      </c>
    </row>
    <row r="16" spans="1:17" x14ac:dyDescent="0.25">
      <c r="A16" s="1"/>
      <c r="B16" s="1" t="s">
        <v>713</v>
      </c>
      <c r="C16" s="1">
        <f t="shared" ca="1" si="0"/>
        <v>0</v>
      </c>
      <c r="D16" s="1" t="s">
        <v>91</v>
      </c>
      <c r="E16" s="1" t="s">
        <v>722</v>
      </c>
      <c r="F16" s="1" t="s">
        <v>134</v>
      </c>
      <c r="G16" s="21" t="s">
        <v>595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/>
      <c r="L16" s="1"/>
      <c r="M16" s="1"/>
      <c r="N16" s="1"/>
      <c r="O16" s="1"/>
      <c r="P16" s="14" t="str">
        <f t="shared" ca="1" si="4"/>
        <v/>
      </c>
      <c r="Q16" s="14" t="str">
        <f t="shared" ca="1" si="5"/>
        <v>BulletTower7_mc::BulletTower7_mc:MovieClip("sphere","BulletTower7_mc",""{)</v>
      </c>
    </row>
    <row r="17" spans="1:17" x14ac:dyDescent="0.25">
      <c r="A17" s="1"/>
      <c r="B17" s="3" t="s">
        <v>95</v>
      </c>
      <c r="C17" s="1">
        <f t="shared" ca="1" si="0"/>
        <v>1</v>
      </c>
      <c r="D17" s="1" t="s">
        <v>91</v>
      </c>
      <c r="E17" s="1" t="s">
        <v>722</v>
      </c>
      <c r="F17" s="1" t="s">
        <v>134</v>
      </c>
      <c r="G17" s="1" t="s">
        <v>594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>B17</f>
        <v>ball</v>
      </c>
      <c r="L17" s="1"/>
      <c r="M17" s="1"/>
      <c r="N17" s="1"/>
      <c r="O17" s="1"/>
      <c r="P17" s="14" t="str">
        <f t="shared" ca="1" si="4"/>
        <v>MovieClipSub * ball;</v>
      </c>
      <c r="Q17" s="14" t="str">
        <f t="shared" ca="1" si="5"/>
        <v>ball= this-&gt;createMovieClipSub("ball");</v>
      </c>
    </row>
    <row r="18" spans="1:17" x14ac:dyDescent="0.25">
      <c r="A18" s="1"/>
      <c r="B18" s="3" t="s">
        <v>96</v>
      </c>
      <c r="C18" s="1">
        <f t="shared" ca="1" si="0"/>
        <v>1</v>
      </c>
      <c r="D18" s="1" t="s">
        <v>91</v>
      </c>
      <c r="E18" s="1" t="s">
        <v>722</v>
      </c>
      <c r="F18" s="1" t="s">
        <v>134</v>
      </c>
      <c r="G18" s="1" t="s">
        <v>594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createMovieClipSub</v>
      </c>
      <c r="K18" s="1" t="str">
        <f t="shared" ref="K18:K20" si="13">B18</f>
        <v>smoke</v>
      </c>
      <c r="L18" s="1"/>
      <c r="M18" s="1"/>
      <c r="N18" s="1"/>
      <c r="O18" s="1"/>
      <c r="P18" s="14" t="str">
        <f t="shared" ca="1" si="4"/>
        <v>MovieClipSub * smoke;</v>
      </c>
      <c r="Q18" s="14" t="str">
        <f t="shared" ca="1" si="5"/>
        <v>smoke= this-&gt;createMovieClipSub("smoke");</v>
      </c>
    </row>
    <row r="19" spans="1:17" x14ac:dyDescent="0.25">
      <c r="A19" s="1"/>
      <c r="B19" s="4" t="s">
        <v>191</v>
      </c>
      <c r="C19" s="1">
        <f t="shared" ca="1" si="0"/>
        <v>2</v>
      </c>
      <c r="D19" s="1" t="s">
        <v>91</v>
      </c>
      <c r="E19" s="1" t="s">
        <v>722</v>
      </c>
      <c r="F19" s="1" t="s">
        <v>134</v>
      </c>
      <c r="G19" s="1" t="s">
        <v>594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tr">
        <f t="shared" si="13"/>
        <v>cont1</v>
      </c>
      <c r="L19" s="1"/>
      <c r="M19" s="1"/>
      <c r="N19" s="1"/>
      <c r="O19" s="1"/>
      <c r="P19" s="14" t="str">
        <f t="shared" ca="1" si="4"/>
        <v>MovieClipSub * smokeCont1;</v>
      </c>
      <c r="Q19" s="14" t="str">
        <f t="shared" ca="1" si="5"/>
        <v>smokeCont1= smoke-&gt;createMovieClipSub("cont1");</v>
      </c>
    </row>
    <row r="20" spans="1:17" x14ac:dyDescent="0.25">
      <c r="A20" s="1" t="s">
        <v>714</v>
      </c>
      <c r="B20" s="4" t="s">
        <v>213</v>
      </c>
      <c r="C20" s="1">
        <f t="shared" ca="1" si="0"/>
        <v>2</v>
      </c>
      <c r="D20" s="1" t="s">
        <v>91</v>
      </c>
      <c r="E20" s="1" t="s">
        <v>722</v>
      </c>
      <c r="F20" s="1" t="s">
        <v>134</v>
      </c>
      <c r="G20" s="1" t="s">
        <v>726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3"/>
        <v>createMovieClip</v>
      </c>
      <c r="K20" s="1" t="str">
        <f t="shared" si="13"/>
        <v>cont2</v>
      </c>
      <c r="L20" s="1" t="s">
        <v>714</v>
      </c>
      <c r="M20" s="1"/>
      <c r="N20" s="1"/>
      <c r="O20" s="1"/>
      <c r="P20" s="14" t="str">
        <f t="shared" ca="1" si="4"/>
        <v>MovieClip * smokeCont2;</v>
      </c>
      <c r="Q20" s="14" t="str">
        <f t="shared" ca="1" si="5"/>
        <v>smokeCont2= smoke-&gt;createMovieClip("cont2");</v>
      </c>
    </row>
    <row r="21" spans="1:17" x14ac:dyDescent="0.25">
      <c r="A21" s="1"/>
      <c r="B21" s="6" t="s">
        <v>727</v>
      </c>
      <c r="C21" s="1">
        <f t="shared" ca="1" si="0"/>
        <v>0</v>
      </c>
      <c r="D21" s="1" t="s">
        <v>91</v>
      </c>
      <c r="E21" s="1" t="s">
        <v>722</v>
      </c>
      <c r="F21" s="1" t="s">
        <v>134</v>
      </c>
      <c r="G21" s="21" t="s">
        <v>595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/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BulletTower71_mc::BulletTower71_mc:MovieClip("sphere","BulletTower71_mc",""{)</v>
      </c>
    </row>
    <row r="22" spans="1:17" x14ac:dyDescent="0.25">
      <c r="A22" s="1" t="s">
        <v>214</v>
      </c>
      <c r="B22" s="1" t="s">
        <v>215</v>
      </c>
      <c r="C22" s="1">
        <f t="shared" ca="1" si="0"/>
        <v>0</v>
      </c>
      <c r="D22" s="1" t="s">
        <v>91</v>
      </c>
      <c r="E22" s="1" t="s">
        <v>722</v>
      </c>
      <c r="F22" s="1" t="s">
        <v>134</v>
      </c>
      <c r="G22" s="21" t="s">
        <v>595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BulletTower7_smoke_mc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BulletTower7_smoke_mc::BulletTower7_smoke_mc:MovieClip("sphere","BulletTower7_smoke_mc","BulletTower7_smoke_mc"{)</v>
      </c>
    </row>
    <row r="23" spans="1:17" x14ac:dyDescent="0.25">
      <c r="A23" s="1"/>
      <c r="B23" s="1" t="s">
        <v>104</v>
      </c>
      <c r="C23" s="1">
        <f t="shared" ca="1" si="0"/>
        <v>0</v>
      </c>
      <c r="D23" s="1" t="s">
        <v>91</v>
      </c>
      <c r="E23" s="1" t="s">
        <v>722</v>
      </c>
      <c r="F23" s="1" t="s">
        <v>134</v>
      </c>
      <c r="G23" s="21" t="s">
        <v>595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BulletTower8_1_mc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BulletTower8_1_mc::BulletTower8_1_mc:MovieClip("sphere","BulletTower8_1_mc","BulletTower8_1_mc"{)</v>
      </c>
    </row>
    <row r="24" spans="1:17" x14ac:dyDescent="0.25">
      <c r="A24" s="1"/>
      <c r="B24" s="1" t="s">
        <v>103</v>
      </c>
      <c r="C24" s="1">
        <f t="shared" ca="1" si="0"/>
        <v>0</v>
      </c>
      <c r="D24" s="1" t="s">
        <v>91</v>
      </c>
      <c r="E24" s="1" t="s">
        <v>722</v>
      </c>
      <c r="F24" s="1" t="s">
        <v>134</v>
      </c>
      <c r="G24" s="21" t="s">
        <v>595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BulletTower8_2_mc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BulletTower8_2_mc::BulletTower8_2_mc:MovieClip("sphere","BulletTower8_2_mc","BulletTower8_2_mc"{)</v>
      </c>
    </row>
    <row r="25" spans="1:17" x14ac:dyDescent="0.25">
      <c r="A25" s="1"/>
      <c r="B25" s="1" t="s">
        <v>102</v>
      </c>
      <c r="C25" s="1">
        <f t="shared" ca="1" si="0"/>
        <v>0</v>
      </c>
      <c r="D25" s="1" t="s">
        <v>91</v>
      </c>
      <c r="E25" s="1" t="s">
        <v>722</v>
      </c>
      <c r="F25" s="1" t="s">
        <v>134</v>
      </c>
      <c r="G25" s="21" t="s">
        <v>595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BulletTower81_mc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BulletTower81_mc::BulletTower81_mc:MovieClip("sphere","BulletTower81_mc","BulletTower81_mc"{)</v>
      </c>
    </row>
    <row r="26" spans="1:17" x14ac:dyDescent="0.25">
      <c r="A26" s="1" t="s">
        <v>216</v>
      </c>
      <c r="B26" s="1" t="s">
        <v>715</v>
      </c>
      <c r="C26" s="1">
        <f t="shared" ca="1" si="0"/>
        <v>0</v>
      </c>
      <c r="D26" s="1" t="s">
        <v>91</v>
      </c>
      <c r="E26" s="1" t="s">
        <v>722</v>
      </c>
      <c r="F26" s="1" t="s">
        <v>134</v>
      </c>
      <c r="G26" s="21" t="s">
        <v>716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3"/>
        <v>createSprite</v>
      </c>
      <c r="K26" s="1" t="str">
        <f>B26</f>
        <v>UnitShadow_mc</v>
      </c>
      <c r="L26" s="1"/>
      <c r="M26" s="1"/>
      <c r="N26" s="1"/>
      <c r="O26" s="1"/>
      <c r="P26" s="14" t="str">
        <f t="shared" ca="1" si="4"/>
        <v/>
      </c>
      <c r="Q26" s="14" t="str">
        <f t="shared" ca="1" si="5"/>
        <v>UnitShadow_mc::UnitShadow_mc:Sprite("sphere","UnitShadow_mc","UnitShadow_mc"{)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23"/>
  <sheetViews>
    <sheetView tabSelected="1" zoomScale="85" zoomScaleNormal="85" workbookViewId="0">
      <pane xSplit="2" ySplit="1" topLeftCell="C73" activePane="bottomRight" state="frozen"/>
      <selection pane="topRight" activeCell="C1" sqref="C1"/>
      <selection pane="bottomLeft" activeCell="A2" sqref="A2"/>
      <selection pane="bottomRight" activeCell="C87" sqref="C87:C92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5" t="s">
        <v>109</v>
      </c>
      <c r="H1" s="25" t="s">
        <v>617</v>
      </c>
      <c r="I1" s="25" t="s">
        <v>597</v>
      </c>
      <c r="J1" s="25" t="s">
        <v>618</v>
      </c>
      <c r="K1" s="25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  <c r="R1" s="2"/>
      <c r="S1" s="2"/>
      <c r="T1" s="2" t="s">
        <v>688</v>
      </c>
    </row>
    <row r="2" spans="1:20" x14ac:dyDescent="0.25">
      <c r="A2" s="6" t="s">
        <v>83</v>
      </c>
      <c r="B2" s="1" t="s">
        <v>647</v>
      </c>
      <c r="C2" s="1">
        <f t="shared" ref="C2:C70" ca="1" si="0">indent(B2)</f>
        <v>0</v>
      </c>
      <c r="D2" s="1" t="s">
        <v>271</v>
      </c>
      <c r="E2" s="1" t="s">
        <v>134</v>
      </c>
      <c r="F2" s="1" t="s">
        <v>633</v>
      </c>
      <c r="G2" s="21" t="s">
        <v>595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84</v>
      </c>
      <c r="C3" s="1">
        <f t="shared" ref="C3:C11" ca="1" si="2">indent(B3)</f>
        <v>1</v>
      </c>
      <c r="D3" s="1" t="s">
        <v>271</v>
      </c>
      <c r="E3" s="1" t="s">
        <v>134</v>
      </c>
      <c r="F3" s="1" t="s">
        <v>633</v>
      </c>
      <c r="G3" s="1" t="s">
        <v>594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85</v>
      </c>
      <c r="C4" s="1">
        <f t="shared" ca="1" si="2"/>
        <v>1</v>
      </c>
      <c r="D4" s="1" t="s">
        <v>271</v>
      </c>
      <c r="E4" s="1" t="s">
        <v>134</v>
      </c>
      <c r="F4" s="1" t="s">
        <v>633</v>
      </c>
      <c r="G4" s="1" t="s">
        <v>594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649</v>
      </c>
      <c r="B5" s="4" t="s">
        <v>648</v>
      </c>
      <c r="C5" s="1">
        <f t="shared" ca="1" si="2"/>
        <v>2</v>
      </c>
      <c r="D5" s="1" t="s">
        <v>271</v>
      </c>
      <c r="E5" s="1" t="s">
        <v>134</v>
      </c>
      <c r="F5" s="1" t="s">
        <v>633</v>
      </c>
      <c r="G5" s="1" t="s">
        <v>594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86</v>
      </c>
      <c r="C6" s="1">
        <f t="shared" ca="1" si="2"/>
        <v>1</v>
      </c>
      <c r="D6" s="1" t="s">
        <v>271</v>
      </c>
      <c r="E6" s="1" t="s">
        <v>134</v>
      </c>
      <c r="F6" s="1" t="s">
        <v>633</v>
      </c>
      <c r="G6" s="1" t="s">
        <v>594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649</v>
      </c>
      <c r="B7" s="4" t="s">
        <v>648</v>
      </c>
      <c r="C7" s="1">
        <f t="shared" ca="1" si="2"/>
        <v>2</v>
      </c>
      <c r="D7" s="1" t="s">
        <v>271</v>
      </c>
      <c r="E7" s="1" t="s">
        <v>134</v>
      </c>
      <c r="F7" s="1" t="s">
        <v>633</v>
      </c>
      <c r="G7" s="1" t="s">
        <v>594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87</v>
      </c>
      <c r="C8" s="1">
        <f t="shared" ca="1" si="2"/>
        <v>1</v>
      </c>
      <c r="D8" s="1" t="s">
        <v>271</v>
      </c>
      <c r="E8" s="1" t="s">
        <v>134</v>
      </c>
      <c r="F8" s="1" t="s">
        <v>633</v>
      </c>
      <c r="G8" s="1" t="s">
        <v>594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649</v>
      </c>
      <c r="B9" s="4" t="s">
        <v>648</v>
      </c>
      <c r="C9" s="1">
        <f t="shared" ca="1" si="2"/>
        <v>2</v>
      </c>
      <c r="D9" s="1" t="s">
        <v>271</v>
      </c>
      <c r="E9" s="1" t="s">
        <v>134</v>
      </c>
      <c r="F9" s="1" t="s">
        <v>633</v>
      </c>
      <c r="G9" s="1" t="s">
        <v>594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88</v>
      </c>
      <c r="C10" s="1">
        <f t="shared" ca="1" si="2"/>
        <v>1</v>
      </c>
      <c r="D10" s="1" t="s">
        <v>271</v>
      </c>
      <c r="E10" s="1" t="s">
        <v>134</v>
      </c>
      <c r="F10" s="1" t="s">
        <v>633</v>
      </c>
      <c r="G10" s="1" t="s">
        <v>594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649</v>
      </c>
      <c r="B11" s="4" t="s">
        <v>648</v>
      </c>
      <c r="C11" s="1">
        <f t="shared" ca="1" si="2"/>
        <v>2</v>
      </c>
      <c r="D11" s="1" t="s">
        <v>271</v>
      </c>
      <c r="E11" s="1" t="s">
        <v>134</v>
      </c>
      <c r="F11" s="1" t="s">
        <v>633</v>
      </c>
      <c r="G11" s="1" t="s">
        <v>594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650</v>
      </c>
      <c r="C12" s="1">
        <f t="shared" ca="1" si="0"/>
        <v>0</v>
      </c>
      <c r="D12" s="1" t="s">
        <v>271</v>
      </c>
      <c r="E12" s="1" t="s">
        <v>633</v>
      </c>
      <c r="F12" s="1" t="s">
        <v>633</v>
      </c>
      <c r="G12" s="21" t="s">
        <v>595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662</v>
      </c>
      <c r="C13" s="1">
        <f t="shared" ca="1" si="0"/>
        <v>0</v>
      </c>
      <c r="D13" s="1" t="s">
        <v>271</v>
      </c>
      <c r="E13" s="1" t="s">
        <v>134</v>
      </c>
      <c r="F13" s="1" t="s">
        <v>134</v>
      </c>
      <c r="G13" s="21" t="s">
        <v>595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225</v>
      </c>
      <c r="C14" s="1">
        <f t="shared" ca="1" si="0"/>
        <v>1</v>
      </c>
      <c r="D14" s="1" t="s">
        <v>271</v>
      </c>
      <c r="E14" s="1" t="s">
        <v>134</v>
      </c>
      <c r="F14" s="1" t="s">
        <v>134</v>
      </c>
      <c r="G14" s="1" t="s">
        <v>684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89</v>
      </c>
      <c r="C15" s="1">
        <f t="shared" ca="1" si="0"/>
        <v>1</v>
      </c>
      <c r="D15" s="1" t="s">
        <v>271</v>
      </c>
      <c r="E15" s="1" t="s">
        <v>134</v>
      </c>
      <c r="F15" s="1" t="s">
        <v>134</v>
      </c>
      <c r="G15" s="1" t="s">
        <v>690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71" t="s">
        <v>653</v>
      </c>
      <c r="B16" s="1" t="s">
        <v>221</v>
      </c>
      <c r="C16" s="1">
        <f t="shared" ca="1" si="0"/>
        <v>0</v>
      </c>
      <c r="D16" s="1" t="s">
        <v>271</v>
      </c>
      <c r="E16" s="1" t="s">
        <v>654</v>
      </c>
      <c r="F16" s="1" t="s">
        <v>654</v>
      </c>
      <c r="G16" s="21" t="s">
        <v>595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652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72"/>
      <c r="B17" s="3" t="s">
        <v>84</v>
      </c>
      <c r="C17" s="1">
        <f t="shared" ca="1" si="0"/>
        <v>1</v>
      </c>
      <c r="D17" s="1" t="s">
        <v>271</v>
      </c>
      <c r="E17" s="1" t="s">
        <v>654</v>
      </c>
      <c r="F17" s="1" t="s">
        <v>654</v>
      </c>
      <c r="G17" s="1" t="s">
        <v>594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72"/>
      <c r="B18" s="1" t="s">
        <v>222</v>
      </c>
      <c r="C18" s="1">
        <f t="shared" ca="1" si="0"/>
        <v>0</v>
      </c>
      <c r="D18" s="1" t="s">
        <v>271</v>
      </c>
      <c r="E18" s="1" t="s">
        <v>654</v>
      </c>
      <c r="F18" s="1" t="s">
        <v>654</v>
      </c>
      <c r="G18" s="21" t="s">
        <v>595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652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72"/>
      <c r="B19" s="3" t="s">
        <v>84</v>
      </c>
      <c r="C19" s="1">
        <f t="shared" ca="1" si="0"/>
        <v>1</v>
      </c>
      <c r="D19" s="1" t="s">
        <v>271</v>
      </c>
      <c r="E19" s="1" t="s">
        <v>654</v>
      </c>
      <c r="F19" s="1" t="s">
        <v>654</v>
      </c>
      <c r="G19" s="1" t="s">
        <v>594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72"/>
      <c r="B20" s="1" t="s">
        <v>223</v>
      </c>
      <c r="C20" s="1">
        <f t="shared" ca="1" si="0"/>
        <v>0</v>
      </c>
      <c r="D20" s="1" t="s">
        <v>271</v>
      </c>
      <c r="E20" s="1" t="s">
        <v>654</v>
      </c>
      <c r="F20" s="1" t="s">
        <v>654</v>
      </c>
      <c r="G20" s="21" t="s">
        <v>595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652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72"/>
      <c r="B21" s="3" t="s">
        <v>84</v>
      </c>
      <c r="C21" s="1">
        <f t="shared" ca="1" si="0"/>
        <v>1</v>
      </c>
      <c r="D21" s="1" t="s">
        <v>271</v>
      </c>
      <c r="E21" s="1" t="s">
        <v>654</v>
      </c>
      <c r="F21" s="1" t="s">
        <v>654</v>
      </c>
      <c r="G21" s="1" t="s">
        <v>594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72"/>
      <c r="B22" s="1" t="s">
        <v>651</v>
      </c>
      <c r="C22" s="1">
        <f t="shared" ca="1" si="0"/>
        <v>0</v>
      </c>
      <c r="D22" s="1" t="s">
        <v>271</v>
      </c>
      <c r="E22" s="1" t="s">
        <v>654</v>
      </c>
      <c r="F22" s="1" t="s">
        <v>654</v>
      </c>
      <c r="G22" s="21" t="s">
        <v>595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652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72"/>
      <c r="B23" s="3" t="s">
        <v>84</v>
      </c>
      <c r="C23" s="1">
        <f t="shared" ca="1" si="0"/>
        <v>1</v>
      </c>
      <c r="D23" s="1" t="s">
        <v>271</v>
      </c>
      <c r="E23" s="1" t="s">
        <v>654</v>
      </c>
      <c r="F23" s="1" t="s">
        <v>654</v>
      </c>
      <c r="G23" s="1" t="s">
        <v>594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72"/>
      <c r="B24" s="1" t="s">
        <v>224</v>
      </c>
      <c r="C24" s="1">
        <f t="shared" ca="1" si="0"/>
        <v>0</v>
      </c>
      <c r="D24" s="1" t="s">
        <v>271</v>
      </c>
      <c r="E24" s="1" t="s">
        <v>654</v>
      </c>
      <c r="F24" s="1" t="s">
        <v>654</v>
      </c>
      <c r="G24" s="21" t="s">
        <v>595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652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72"/>
      <c r="B25" s="3" t="s">
        <v>84</v>
      </c>
      <c r="C25" s="1">
        <f t="shared" ca="1" si="0"/>
        <v>1</v>
      </c>
      <c r="D25" s="1" t="s">
        <v>271</v>
      </c>
      <c r="E25" s="1" t="s">
        <v>654</v>
      </c>
      <c r="F25" s="1" t="s">
        <v>654</v>
      </c>
      <c r="G25" s="1" t="s">
        <v>594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72"/>
      <c r="B26" s="3" t="s">
        <v>112</v>
      </c>
      <c r="C26" s="1">
        <f t="shared" ca="1" si="0"/>
        <v>1</v>
      </c>
      <c r="D26" s="1" t="s">
        <v>271</v>
      </c>
      <c r="E26" s="1" t="s">
        <v>654</v>
      </c>
      <c r="F26" s="1" t="s">
        <v>654</v>
      </c>
      <c r="G26" s="1" t="s">
        <v>594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72"/>
      <c r="B27" s="3" t="s">
        <v>192</v>
      </c>
      <c r="C27" s="1">
        <f t="shared" ca="1" si="0"/>
        <v>1</v>
      </c>
      <c r="D27" s="1" t="s">
        <v>271</v>
      </c>
      <c r="E27" s="1" t="s">
        <v>654</v>
      </c>
      <c r="F27" s="1" t="s">
        <v>654</v>
      </c>
      <c r="G27" s="1" t="s">
        <v>594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73"/>
      <c r="B28" s="3" t="s">
        <v>193</v>
      </c>
      <c r="C28" s="1">
        <f t="shared" ca="1" si="0"/>
        <v>1</v>
      </c>
      <c r="D28" s="1" t="s">
        <v>271</v>
      </c>
      <c r="E28" s="1" t="s">
        <v>654</v>
      </c>
      <c r="F28" s="1" t="s">
        <v>654</v>
      </c>
      <c r="G28" s="1" t="s">
        <v>594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71" t="s">
        <v>656</v>
      </c>
      <c r="B29" s="1" t="s">
        <v>227</v>
      </c>
      <c r="C29" s="1">
        <f t="shared" ca="1" si="0"/>
        <v>0</v>
      </c>
      <c r="D29" s="1" t="s">
        <v>271</v>
      </c>
      <c r="E29" s="1" t="s">
        <v>654</v>
      </c>
      <c r="F29" s="1" t="s">
        <v>654</v>
      </c>
      <c r="G29" s="21" t="s">
        <v>657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72"/>
      <c r="B30" s="3" t="s">
        <v>84</v>
      </c>
      <c r="C30" s="1">
        <f t="shared" ca="1" si="0"/>
        <v>1</v>
      </c>
      <c r="D30" s="1" t="s">
        <v>271</v>
      </c>
      <c r="E30" s="1" t="s">
        <v>654</v>
      </c>
      <c r="F30" s="1" t="s">
        <v>654</v>
      </c>
      <c r="G30" s="1" t="s">
        <v>595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655</v>
      </c>
      <c r="L30" s="1" t="s">
        <v>658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72"/>
      <c r="B31" s="3" t="s">
        <v>225</v>
      </c>
      <c r="C31" s="1">
        <f t="shared" ref="C31" ca="1" si="10">indent(B31)</f>
        <v>1</v>
      </c>
      <c r="D31" s="1" t="s">
        <v>271</v>
      </c>
      <c r="E31" s="1" t="s">
        <v>654</v>
      </c>
      <c r="F31" s="1" t="s">
        <v>654</v>
      </c>
      <c r="G31" s="1" t="s">
        <v>684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72"/>
      <c r="B32" s="1" t="s">
        <v>228</v>
      </c>
      <c r="C32" s="1">
        <f t="shared" ca="1" si="0"/>
        <v>0</v>
      </c>
      <c r="D32" s="1" t="s">
        <v>271</v>
      </c>
      <c r="E32" s="1" t="s">
        <v>654</v>
      </c>
      <c r="F32" s="1" t="s">
        <v>654</v>
      </c>
      <c r="G32" s="21" t="s">
        <v>595</v>
      </c>
      <c r="H32" s="1" t="str">
        <f t="shared" ref="H32:H103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72"/>
      <c r="B33" s="3" t="s">
        <v>84</v>
      </c>
      <c r="C33" s="1">
        <f t="shared" ca="1" si="0"/>
        <v>1</v>
      </c>
      <c r="D33" s="1" t="s">
        <v>271</v>
      </c>
      <c r="E33" s="1" t="s">
        <v>654</v>
      </c>
      <c r="F33" s="1" t="s">
        <v>654</v>
      </c>
      <c r="G33" s="1" t="s">
        <v>595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655</v>
      </c>
      <c r="L33" s="1" t="s">
        <v>659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72"/>
      <c r="B34" s="3" t="s">
        <v>225</v>
      </c>
      <c r="C34" s="1">
        <f t="shared" ca="1" si="0"/>
        <v>1</v>
      </c>
      <c r="D34" s="1" t="s">
        <v>271</v>
      </c>
      <c r="E34" s="1" t="s">
        <v>654</v>
      </c>
      <c r="F34" s="1" t="s">
        <v>654</v>
      </c>
      <c r="G34" s="1" t="s">
        <v>684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72"/>
      <c r="B35" s="1" t="s">
        <v>229</v>
      </c>
      <c r="C35" s="1">
        <f t="shared" ca="1" si="0"/>
        <v>0</v>
      </c>
      <c r="D35" s="1" t="s">
        <v>271</v>
      </c>
      <c r="E35" s="1" t="s">
        <v>654</v>
      </c>
      <c r="F35" s="1" t="s">
        <v>654</v>
      </c>
      <c r="G35" s="21" t="s">
        <v>595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72"/>
      <c r="B36" s="3" t="s">
        <v>84</v>
      </c>
      <c r="C36" s="1">
        <f t="shared" ca="1" si="0"/>
        <v>1</v>
      </c>
      <c r="D36" s="1" t="s">
        <v>271</v>
      </c>
      <c r="E36" s="1" t="s">
        <v>654</v>
      </c>
      <c r="F36" s="1" t="s">
        <v>654</v>
      </c>
      <c r="G36" s="1" t="s">
        <v>595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655</v>
      </c>
      <c r="L36" s="1" t="s">
        <v>660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72"/>
      <c r="B37" s="3" t="s">
        <v>225</v>
      </c>
      <c r="C37" s="1">
        <f t="shared" ref="C37" ca="1" si="14">indent(B37)</f>
        <v>1</v>
      </c>
      <c r="D37" s="1" t="s">
        <v>271</v>
      </c>
      <c r="E37" s="1" t="s">
        <v>654</v>
      </c>
      <c r="F37" s="1" t="s">
        <v>654</v>
      </c>
      <c r="G37" s="1" t="s">
        <v>684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72"/>
      <c r="B38" s="1" t="s">
        <v>226</v>
      </c>
      <c r="C38" s="1">
        <f t="shared" ca="1" si="0"/>
        <v>0</v>
      </c>
      <c r="D38" s="1" t="s">
        <v>271</v>
      </c>
      <c r="E38" s="1" t="s">
        <v>654</v>
      </c>
      <c r="F38" s="1" t="s">
        <v>654</v>
      </c>
      <c r="G38" s="21" t="s">
        <v>595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72"/>
      <c r="B39" s="3" t="s">
        <v>84</v>
      </c>
      <c r="C39" s="1">
        <f t="shared" ca="1" si="0"/>
        <v>1</v>
      </c>
      <c r="D39" s="1" t="s">
        <v>271</v>
      </c>
      <c r="E39" s="1" t="s">
        <v>654</v>
      </c>
      <c r="F39" s="1" t="s">
        <v>654</v>
      </c>
      <c r="G39" s="1" t="s">
        <v>595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655</v>
      </c>
      <c r="L39" s="1" t="s">
        <v>661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73"/>
      <c r="B40" s="3" t="s">
        <v>225</v>
      </c>
      <c r="C40" s="1">
        <f t="shared" ca="1" si="0"/>
        <v>1</v>
      </c>
      <c r="D40" s="1" t="s">
        <v>271</v>
      </c>
      <c r="E40" s="1" t="s">
        <v>654</v>
      </c>
      <c r="F40" s="1" t="s">
        <v>654</v>
      </c>
      <c r="G40" s="1" t="s">
        <v>684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230</v>
      </c>
      <c r="B41" s="1" t="s">
        <v>231</v>
      </c>
      <c r="C41" s="1">
        <f t="shared" ca="1" si="0"/>
        <v>0</v>
      </c>
      <c r="D41" s="1" t="s">
        <v>271</v>
      </c>
      <c r="E41" s="1" t="s">
        <v>654</v>
      </c>
      <c r="F41" s="1" t="s">
        <v>654</v>
      </c>
      <c r="G41" s="21" t="s">
        <v>595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232</v>
      </c>
      <c r="C42" s="1">
        <f t="shared" ca="1" si="0"/>
        <v>0</v>
      </c>
      <c r="D42" s="1" t="s">
        <v>271</v>
      </c>
      <c r="E42" s="1" t="s">
        <v>654</v>
      </c>
      <c r="F42" s="1" t="s">
        <v>654</v>
      </c>
      <c r="G42" s="21" t="s">
        <v>595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233</v>
      </c>
      <c r="C43" s="1">
        <f t="shared" ca="1" si="0"/>
        <v>0</v>
      </c>
      <c r="D43" s="1" t="s">
        <v>271</v>
      </c>
      <c r="E43" s="1" t="s">
        <v>654</v>
      </c>
      <c r="F43" s="1" t="s">
        <v>654</v>
      </c>
      <c r="G43" s="21" t="s">
        <v>595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234</v>
      </c>
      <c r="C44" s="1">
        <f t="shared" ca="1" si="0"/>
        <v>0</v>
      </c>
      <c r="D44" s="1" t="s">
        <v>271</v>
      </c>
      <c r="E44" s="1" t="s">
        <v>654</v>
      </c>
      <c r="F44" s="1" t="s">
        <v>654</v>
      </c>
      <c r="G44" s="21" t="s">
        <v>595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235</v>
      </c>
      <c r="C45" s="1">
        <f t="shared" ca="1" si="0"/>
        <v>0</v>
      </c>
      <c r="D45" s="1" t="s">
        <v>271</v>
      </c>
      <c r="E45" s="1" t="s">
        <v>654</v>
      </c>
      <c r="F45" s="1" t="s">
        <v>654</v>
      </c>
      <c r="G45" s="21" t="s">
        <v>595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236</v>
      </c>
      <c r="C46" s="1">
        <f t="shared" ca="1" si="0"/>
        <v>0</v>
      </c>
      <c r="D46" s="1" t="s">
        <v>271</v>
      </c>
      <c r="E46" s="1" t="s">
        <v>654</v>
      </c>
      <c r="F46" s="1" t="s">
        <v>654</v>
      </c>
      <c r="G46" s="21" t="s">
        <v>595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237</v>
      </c>
      <c r="C47" s="1">
        <f t="shared" ca="1" si="0"/>
        <v>0</v>
      </c>
      <c r="D47" s="1" t="s">
        <v>271</v>
      </c>
      <c r="E47" s="1" t="s">
        <v>654</v>
      </c>
      <c r="F47" s="1" t="s">
        <v>654</v>
      </c>
      <c r="G47" s="21" t="s">
        <v>595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238</v>
      </c>
      <c r="C48" s="1">
        <f t="shared" ca="1" si="0"/>
        <v>0</v>
      </c>
      <c r="D48" s="1" t="s">
        <v>271</v>
      </c>
      <c r="E48" s="1" t="s">
        <v>654</v>
      </c>
      <c r="F48" s="1" t="s">
        <v>654</v>
      </c>
      <c r="G48" s="21" t="s">
        <v>595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239</v>
      </c>
      <c r="C49" s="1">
        <f t="shared" ca="1" si="0"/>
        <v>0</v>
      </c>
      <c r="D49" s="1" t="s">
        <v>271</v>
      </c>
      <c r="E49" s="1" t="s">
        <v>654</v>
      </c>
      <c r="F49" s="1" t="s">
        <v>654</v>
      </c>
      <c r="G49" s="21" t="s">
        <v>595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240</v>
      </c>
      <c r="C50" s="1">
        <f t="shared" ca="1" si="0"/>
        <v>0</v>
      </c>
      <c r="D50" s="1" t="s">
        <v>271</v>
      </c>
      <c r="E50" s="1" t="s">
        <v>654</v>
      </c>
      <c r="F50" s="1" t="s">
        <v>654</v>
      </c>
      <c r="G50" s="21" t="s">
        <v>595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241</v>
      </c>
      <c r="C51" s="1">
        <f t="shared" ca="1" si="0"/>
        <v>0</v>
      </c>
      <c r="D51" s="1" t="s">
        <v>271</v>
      </c>
      <c r="E51" s="1" t="s">
        <v>654</v>
      </c>
      <c r="F51" s="1" t="s">
        <v>654</v>
      </c>
      <c r="G51" s="21" t="s">
        <v>595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663</v>
      </c>
      <c r="C52" s="1">
        <f t="shared" ca="1" si="0"/>
        <v>0</v>
      </c>
      <c r="D52" s="1" t="s">
        <v>271</v>
      </c>
      <c r="E52" s="1" t="s">
        <v>654</v>
      </c>
      <c r="F52" s="1" t="s">
        <v>654</v>
      </c>
      <c r="G52" s="21" t="s">
        <v>595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248</v>
      </c>
      <c r="C53" s="1">
        <f t="shared" ca="1" si="0"/>
        <v>1</v>
      </c>
      <c r="D53" s="1" t="s">
        <v>271</v>
      </c>
      <c r="E53" s="1" t="s">
        <v>654</v>
      </c>
      <c r="F53" s="1" t="s">
        <v>654</v>
      </c>
      <c r="G53" s="1" t="s">
        <v>594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249</v>
      </c>
      <c r="C54" s="1">
        <f t="shared" ca="1" si="0"/>
        <v>1</v>
      </c>
      <c r="D54" s="1" t="s">
        <v>271</v>
      </c>
      <c r="E54" s="1" t="s">
        <v>654</v>
      </c>
      <c r="F54" s="1" t="s">
        <v>654</v>
      </c>
      <c r="G54" s="1" t="s">
        <v>594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250</v>
      </c>
      <c r="C55" s="1">
        <f t="shared" ca="1" si="0"/>
        <v>1</v>
      </c>
      <c r="D55" s="1" t="s">
        <v>271</v>
      </c>
      <c r="E55" s="1" t="s">
        <v>654</v>
      </c>
      <c r="F55" s="1" t="s">
        <v>654</v>
      </c>
      <c r="G55" s="1" t="s">
        <v>594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251</v>
      </c>
      <c r="C56" s="1">
        <f t="shared" ca="1" si="0"/>
        <v>1</v>
      </c>
      <c r="D56" s="1" t="s">
        <v>271</v>
      </c>
      <c r="E56" s="1" t="s">
        <v>654</v>
      </c>
      <c r="F56" s="1" t="s">
        <v>654</v>
      </c>
      <c r="G56" s="1" t="s">
        <v>594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252</v>
      </c>
      <c r="C57" s="1">
        <f t="shared" ca="1" si="0"/>
        <v>1</v>
      </c>
      <c r="D57" s="1" t="s">
        <v>271</v>
      </c>
      <c r="E57" s="1" t="s">
        <v>654</v>
      </c>
      <c r="F57" s="1" t="s">
        <v>654</v>
      </c>
      <c r="G57" s="1" t="s">
        <v>594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253</v>
      </c>
      <c r="C58" s="1">
        <f t="shared" ca="1" si="0"/>
        <v>1</v>
      </c>
      <c r="D58" s="1" t="s">
        <v>271</v>
      </c>
      <c r="E58" s="1" t="s">
        <v>654</v>
      </c>
      <c r="F58" s="1" t="s">
        <v>654</v>
      </c>
      <c r="G58" s="1" t="s">
        <v>594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254</v>
      </c>
      <c r="C59" s="1">
        <f t="shared" ca="1" si="0"/>
        <v>1</v>
      </c>
      <c r="D59" s="1" t="s">
        <v>271</v>
      </c>
      <c r="E59" s="1" t="s">
        <v>654</v>
      </c>
      <c r="F59" s="1" t="s">
        <v>654</v>
      </c>
      <c r="G59" s="1" t="s">
        <v>594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255</v>
      </c>
      <c r="C60" s="1">
        <f t="shared" ca="1" si="0"/>
        <v>1</v>
      </c>
      <c r="D60" s="1" t="s">
        <v>271</v>
      </c>
      <c r="E60" s="1" t="s">
        <v>654</v>
      </c>
      <c r="F60" s="1" t="s">
        <v>654</v>
      </c>
      <c r="G60" s="1" t="s">
        <v>594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256</v>
      </c>
      <c r="C61" s="1">
        <f t="shared" ca="1" si="0"/>
        <v>1</v>
      </c>
      <c r="D61" s="1" t="s">
        <v>271</v>
      </c>
      <c r="E61" s="1" t="s">
        <v>654</v>
      </c>
      <c r="F61" s="1" t="s">
        <v>654</v>
      </c>
      <c r="G61" s="1" t="s">
        <v>594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242</v>
      </c>
      <c r="C62" s="1">
        <f t="shared" ca="1" si="0"/>
        <v>0</v>
      </c>
      <c r="D62" s="1" t="s">
        <v>271</v>
      </c>
      <c r="E62" s="1" t="s">
        <v>654</v>
      </c>
      <c r="F62" s="1" t="s">
        <v>654</v>
      </c>
      <c r="G62" s="21" t="s">
        <v>595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243</v>
      </c>
      <c r="C63" s="1">
        <f t="shared" ca="1" si="0"/>
        <v>1</v>
      </c>
      <c r="D63" s="1" t="s">
        <v>271</v>
      </c>
      <c r="E63" s="1" t="s">
        <v>654</v>
      </c>
      <c r="F63" s="1" t="s">
        <v>654</v>
      </c>
      <c r="G63" s="1" t="s">
        <v>594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244</v>
      </c>
      <c r="C64" s="1">
        <f t="shared" ca="1" si="0"/>
        <v>1</v>
      </c>
      <c r="D64" s="1" t="s">
        <v>271</v>
      </c>
      <c r="E64" s="1" t="s">
        <v>654</v>
      </c>
      <c r="F64" s="1" t="s">
        <v>654</v>
      </c>
      <c r="G64" s="1" t="s">
        <v>594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245</v>
      </c>
      <c r="C65" s="1">
        <f t="shared" ca="1" si="0"/>
        <v>1</v>
      </c>
      <c r="D65" s="1" t="s">
        <v>271</v>
      </c>
      <c r="E65" s="1" t="s">
        <v>654</v>
      </c>
      <c r="F65" s="1" t="s">
        <v>654</v>
      </c>
      <c r="G65" s="1" t="s">
        <v>594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246</v>
      </c>
      <c r="C66" s="1">
        <f t="shared" ca="1" si="0"/>
        <v>1</v>
      </c>
      <c r="D66" s="1" t="s">
        <v>271</v>
      </c>
      <c r="E66" s="1" t="s">
        <v>654</v>
      </c>
      <c r="F66" s="1" t="s">
        <v>654</v>
      </c>
      <c r="G66" s="1" t="s">
        <v>594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247</v>
      </c>
      <c r="C67" s="1">
        <f t="shared" ca="1" si="0"/>
        <v>1</v>
      </c>
      <c r="D67" s="1" t="s">
        <v>271</v>
      </c>
      <c r="E67" s="1" t="s">
        <v>654</v>
      </c>
      <c r="F67" s="1" t="s">
        <v>654</v>
      </c>
      <c r="G67" s="1" t="s">
        <v>594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32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9" ca="1" si="19">IF(C67&gt;0,G67 &amp; " * "&amp;H67 &amp;";","")</f>
        <v>MovieClipSub * swamp5;</v>
      </c>
      <c r="Q67" s="14" t="str">
        <f t="shared" ref="Q67:Q139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268</v>
      </c>
      <c r="B68" s="1" t="s">
        <v>272</v>
      </c>
      <c r="C68" s="1">
        <f t="shared" ca="1" si="0"/>
        <v>0</v>
      </c>
      <c r="D68" s="1" t="s">
        <v>645</v>
      </c>
      <c r="E68" s="1" t="s">
        <v>670</v>
      </c>
      <c r="F68" s="1" t="s">
        <v>633</v>
      </c>
      <c r="G68" s="21" t="s">
        <v>595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283</v>
      </c>
      <c r="C69" s="1">
        <f t="shared" ca="1" si="0"/>
        <v>1</v>
      </c>
      <c r="D69" s="1" t="s">
        <v>645</v>
      </c>
      <c r="E69" s="1" t="s">
        <v>670</v>
      </c>
      <c r="F69" s="1" t="s">
        <v>633</v>
      </c>
      <c r="G69" s="1" t="s">
        <v>664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282</v>
      </c>
      <c r="C70" s="1">
        <f t="shared" ca="1" si="0"/>
        <v>1</v>
      </c>
      <c r="D70" s="1" t="s">
        <v>645</v>
      </c>
      <c r="E70" s="1" t="s">
        <v>670</v>
      </c>
      <c r="F70" s="1" t="s">
        <v>633</v>
      </c>
      <c r="G70" s="1" t="s">
        <v>594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281</v>
      </c>
      <c r="C71" s="1">
        <f t="shared" ref="C71:C148" ca="1" si="21">indent(B71)</f>
        <v>1</v>
      </c>
      <c r="D71" s="1" t="s">
        <v>645</v>
      </c>
      <c r="E71" s="1" t="s">
        <v>670</v>
      </c>
      <c r="F71" s="1" t="s">
        <v>633</v>
      </c>
      <c r="G71" s="1" t="s">
        <v>682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96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277</v>
      </c>
      <c r="C72" s="1">
        <f t="shared" ca="1" si="21"/>
        <v>1</v>
      </c>
      <c r="D72" s="1" t="s">
        <v>645</v>
      </c>
      <c r="E72" s="1" t="s">
        <v>670</v>
      </c>
      <c r="F72" s="1" t="s">
        <v>633</v>
      </c>
      <c r="G72" s="1" t="s">
        <v>668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669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278</v>
      </c>
      <c r="C73" s="1">
        <f t="shared" ca="1" si="21"/>
        <v>1</v>
      </c>
      <c r="D73" s="1" t="s">
        <v>645</v>
      </c>
      <c r="E73" s="1" t="s">
        <v>670</v>
      </c>
      <c r="F73" s="1" t="s">
        <v>633</v>
      </c>
      <c r="G73" s="1" t="s">
        <v>668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669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279</v>
      </c>
      <c r="C74" s="1">
        <f t="shared" ca="1" si="21"/>
        <v>1</v>
      </c>
      <c r="D74" s="1" t="s">
        <v>645</v>
      </c>
      <c r="E74" s="1" t="s">
        <v>670</v>
      </c>
      <c r="F74" s="1" t="s">
        <v>633</v>
      </c>
      <c r="G74" s="1" t="s">
        <v>668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666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280</v>
      </c>
      <c r="C75" s="1">
        <f t="shared" ca="1" si="21"/>
        <v>1</v>
      </c>
      <c r="D75" s="1" t="s">
        <v>645</v>
      </c>
      <c r="E75" s="1" t="s">
        <v>670</v>
      </c>
      <c r="F75" s="1" t="s">
        <v>633</v>
      </c>
      <c r="G75" s="1" t="s">
        <v>668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666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276</v>
      </c>
      <c r="C76" s="1">
        <f t="shared" ca="1" si="21"/>
        <v>1</v>
      </c>
      <c r="D76" s="1" t="s">
        <v>645</v>
      </c>
      <c r="E76" s="1" t="s">
        <v>670</v>
      </c>
      <c r="F76" s="1" t="s">
        <v>633</v>
      </c>
      <c r="G76" s="1" t="s">
        <v>668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667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275</v>
      </c>
      <c r="C77" s="1">
        <f t="shared" ca="1" si="21"/>
        <v>1</v>
      </c>
      <c r="D77" s="1" t="s">
        <v>645</v>
      </c>
      <c r="E77" s="1" t="s">
        <v>670</v>
      </c>
      <c r="F77" s="1" t="s">
        <v>633</v>
      </c>
      <c r="G77" s="1" t="s">
        <v>668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666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274</v>
      </c>
      <c r="C78" s="1">
        <f t="shared" ca="1" si="21"/>
        <v>1</v>
      </c>
      <c r="D78" s="1" t="s">
        <v>645</v>
      </c>
      <c r="E78" s="1" t="s">
        <v>670</v>
      </c>
      <c r="F78" s="1" t="s">
        <v>633</v>
      </c>
      <c r="G78" s="1" t="s">
        <v>668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667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273</v>
      </c>
      <c r="C79" s="1">
        <f t="shared" ca="1" si="21"/>
        <v>1</v>
      </c>
      <c r="D79" s="1" t="s">
        <v>645</v>
      </c>
      <c r="E79" s="1" t="s">
        <v>670</v>
      </c>
      <c r="F79" s="1" t="s">
        <v>633</v>
      </c>
      <c r="G79" s="1" t="s">
        <v>668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665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71" t="s">
        <v>646</v>
      </c>
      <c r="B80" s="24" t="s">
        <v>641</v>
      </c>
      <c r="C80" s="1">
        <f ca="1">indent(B80)</f>
        <v>0</v>
      </c>
      <c r="D80" s="1" t="s">
        <v>271</v>
      </c>
      <c r="E80" s="1" t="s">
        <v>670</v>
      </c>
      <c r="F80" s="1" t="s">
        <v>633</v>
      </c>
      <c r="G80" s="21" t="s">
        <v>595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640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72"/>
      <c r="B81" s="24" t="s">
        <v>642</v>
      </c>
      <c r="C81" s="1">
        <f ca="1">indent(B81)</f>
        <v>0</v>
      </c>
      <c r="D81" s="1" t="s">
        <v>271</v>
      </c>
      <c r="E81" s="1" t="s">
        <v>670</v>
      </c>
      <c r="F81" s="1" t="s">
        <v>633</v>
      </c>
      <c r="G81" s="21" t="s">
        <v>595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640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72"/>
      <c r="B82" s="39" t="s">
        <v>764</v>
      </c>
      <c r="C82" s="1">
        <f t="shared" ref="C82:C86" ca="1" si="23">indent(B82)</f>
        <v>1</v>
      </c>
      <c r="D82" s="1" t="s">
        <v>271</v>
      </c>
      <c r="E82" s="1" t="s">
        <v>134</v>
      </c>
      <c r="F82" s="1" t="s">
        <v>134</v>
      </c>
      <c r="G82" s="30" t="s">
        <v>766</v>
      </c>
      <c r="H82" s="1" t="str">
        <f t="shared" ref="H82:H83" ca="1" si="24">IF(OR(I82="this",LEN(I82)&lt;2),B82,CONCATENATE(I82, UPPER(LEFT(B82,1)) &amp; RIGHT(B82,LEN(B82)-1) ))</f>
        <v>placeForBuildCase</v>
      </c>
      <c r="I82" s="1" t="str">
        <f ca="1">IF(C82&lt;2,"this",IF(C82=C81,I81,IF(C82&gt;C81,H81, LOOKUP(1,0/(H$2:H81=I81),I$2:I82))))</f>
        <v>this</v>
      </c>
      <c r="J82" s="1" t="str">
        <f t="shared" si="18"/>
        <v>createCase</v>
      </c>
      <c r="K82" s="1" t="s">
        <v>640</v>
      </c>
      <c r="L82" s="1"/>
      <c r="M82" s="1"/>
      <c r="N82" s="1"/>
      <c r="O82" s="1"/>
      <c r="P82" s="14" t="str">
        <f t="shared" ref="P82:P83" ca="1" si="25">IF(C82&gt;0,G82 &amp; " * "&amp;H82 &amp;";","")</f>
        <v>MCCase * placeForBuildCase;</v>
      </c>
      <c r="Q82" s="14" t="str">
        <f t="shared" ref="Q82:Q83" ca="1" si="26">IF(C82&gt;0,H82&amp;"= "&amp;I82&amp;"-&gt;"&amp;J82&amp;"("""&amp;K82&amp;""")"&amp;";",IF(RIGHT(B82,3)&lt;&gt;"_mc",G82&amp;"("""&amp;D82&amp;""","""&amp;B82&amp;""","""&amp;K82&amp;"""{)",B82&amp;"::"&amp;B82&amp;":"&amp;G82&amp;"("""&amp;D82&amp;""","""&amp;B82&amp;""","""&amp;K82&amp;"""{)"))</f>
        <v>placeForBuildCase= this-&gt;createCase("LevelBase");</v>
      </c>
    </row>
    <row r="83" spans="1:17" x14ac:dyDescent="0.25">
      <c r="A83" s="72"/>
      <c r="B83" s="39" t="s">
        <v>765</v>
      </c>
      <c r="C83" s="1">
        <f t="shared" ca="1" si="23"/>
        <v>1</v>
      </c>
      <c r="D83" s="1" t="s">
        <v>271</v>
      </c>
      <c r="E83" s="1" t="s">
        <v>134</v>
      </c>
      <c r="F83" s="1" t="s">
        <v>134</v>
      </c>
      <c r="G83" s="30" t="s">
        <v>766</v>
      </c>
      <c r="H83" s="1" t="str">
        <f t="shared" ca="1" si="24"/>
        <v>buildPoint</v>
      </c>
      <c r="I83" s="1" t="str">
        <f ca="1">IF(C83&lt;2,"this",IF(C83=C82,I82,IF(C83&gt;C82,H82, LOOKUP(1,0/(H$2:H82=I82),I$2:I83))))</f>
        <v>this</v>
      </c>
      <c r="J83" s="1" t="str">
        <f t="shared" si="18"/>
        <v>createCase</v>
      </c>
      <c r="K83" s="1" t="s">
        <v>640</v>
      </c>
      <c r="L83" s="1"/>
      <c r="M83" s="1"/>
      <c r="N83" s="1"/>
      <c r="O83" s="1"/>
      <c r="P83" s="14" t="str">
        <f t="shared" ca="1" si="25"/>
        <v>MCCase * buildPoint;</v>
      </c>
      <c r="Q83" s="14" t="str">
        <f t="shared" ca="1" si="26"/>
        <v>buildPoint= this-&gt;createCase("LevelBase");</v>
      </c>
    </row>
    <row r="84" spans="1:17" x14ac:dyDescent="0.25">
      <c r="A84" s="72"/>
      <c r="B84" s="24" t="s">
        <v>643</v>
      </c>
      <c r="C84" s="1">
        <f ca="1">indent(B84)</f>
        <v>0</v>
      </c>
      <c r="D84" s="1" t="s">
        <v>271</v>
      </c>
      <c r="E84" s="1" t="s">
        <v>670</v>
      </c>
      <c r="F84" s="1" t="s">
        <v>633</v>
      </c>
      <c r="G84" s="21" t="s">
        <v>595</v>
      </c>
      <c r="H84" s="1" t="str">
        <f ca="1">IF(OR(I84="this",LEN(I84)&lt;2),B84,CONCATENATE(I84, UPPER(LEFT(B84,1)) &amp; RIGHT(B84,LEN(B84)-1) ))</f>
        <v>placeRight</v>
      </c>
      <c r="I84" s="1" t="str">
        <f ca="1">IF(C84&lt;2,"this",IF(C84=C81,I81,IF(C84&gt;C81,H81, LOOKUP(1,0/(H$2:H81=I81),I$2:I84))))</f>
        <v>this</v>
      </c>
      <c r="J84" s="1" t="str">
        <f t="shared" si="18"/>
        <v>createMovieClip</v>
      </c>
      <c r="K84" s="1" t="s">
        <v>640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MovieClip("worldinterface","placeRight","LevelBase"{)</v>
      </c>
    </row>
    <row r="85" spans="1:17" x14ac:dyDescent="0.25">
      <c r="A85" s="72"/>
      <c r="B85" s="39" t="s">
        <v>764</v>
      </c>
      <c r="C85" s="1">
        <f t="shared" ca="1" si="23"/>
        <v>1</v>
      </c>
      <c r="D85" s="1" t="s">
        <v>271</v>
      </c>
      <c r="E85" s="1" t="s">
        <v>134</v>
      </c>
      <c r="F85" s="1" t="s">
        <v>134</v>
      </c>
      <c r="G85" s="30" t="s">
        <v>766</v>
      </c>
      <c r="H85" s="1" t="str">
        <f t="shared" ref="H85:H86" ca="1" si="27">IF(OR(I85="this",LEN(I85)&lt;2),B85,CONCATENATE(I85, UPPER(LEFT(B85,1)) &amp; RIGHT(B85,LEN(B85)-1) ))</f>
        <v>placeForBuildCase</v>
      </c>
      <c r="I85" s="1" t="str">
        <f ca="1">IF(C85&lt;2,"this",IF(C85=C84,I84,IF(C85&gt;C84,H84, LOOKUP(1,0/(H$2:H84=I84),I$2:I85))))</f>
        <v>this</v>
      </c>
      <c r="J85" s="1" t="str">
        <f t="shared" si="18"/>
        <v>createCase</v>
      </c>
      <c r="K85" s="1" t="s">
        <v>640</v>
      </c>
      <c r="L85" s="1"/>
      <c r="M85" s="1"/>
      <c r="N85" s="1"/>
      <c r="O85" s="1"/>
      <c r="P85" s="14" t="str">
        <f t="shared" ca="1" si="19"/>
        <v>MCCase * placeForBuildCase;</v>
      </c>
      <c r="Q85" s="14" t="str">
        <f t="shared" ca="1" si="20"/>
        <v>placeForBuildCase= this-&gt;createCase("LevelBase");</v>
      </c>
    </row>
    <row r="86" spans="1:17" x14ac:dyDescent="0.25">
      <c r="A86" s="72"/>
      <c r="B86" s="39" t="s">
        <v>765</v>
      </c>
      <c r="C86" s="1">
        <f t="shared" ca="1" si="23"/>
        <v>1</v>
      </c>
      <c r="D86" s="1" t="s">
        <v>271</v>
      </c>
      <c r="E86" s="1" t="s">
        <v>134</v>
      </c>
      <c r="F86" s="1" t="s">
        <v>134</v>
      </c>
      <c r="G86" s="30" t="s">
        <v>766</v>
      </c>
      <c r="H86" s="1" t="str">
        <f t="shared" ca="1" si="27"/>
        <v>buildPoint</v>
      </c>
      <c r="I86" s="1" t="str">
        <f ca="1">IF(C86&lt;2,"this",IF(C86=C85,I85,IF(C86&gt;C85,H85, LOOKUP(1,0/(H$2:H85=I85),I$2:I86))))</f>
        <v>this</v>
      </c>
      <c r="J86" s="1" t="str">
        <f t="shared" si="18"/>
        <v>createCase</v>
      </c>
      <c r="K86" s="1" t="s">
        <v>640</v>
      </c>
      <c r="L86" s="1"/>
      <c r="M86" s="1"/>
      <c r="N86" s="1"/>
      <c r="O86" s="1"/>
      <c r="P86" s="14" t="str">
        <f t="shared" ca="1" si="19"/>
        <v>MCCase * buildPoint;</v>
      </c>
      <c r="Q86" s="14" t="str">
        <f t="shared" ca="1" si="20"/>
        <v>buildPoint= this-&gt;createCase("LevelBase");</v>
      </c>
    </row>
    <row r="87" spans="1:17" x14ac:dyDescent="0.25">
      <c r="A87" s="73"/>
      <c r="B87" s="24" t="s">
        <v>644</v>
      </c>
      <c r="C87" s="1">
        <f ca="1">indent(B87)</f>
        <v>0</v>
      </c>
      <c r="D87" s="1" t="s">
        <v>271</v>
      </c>
      <c r="E87" s="1" t="s">
        <v>670</v>
      </c>
      <c r="F87" s="1" t="s">
        <v>633</v>
      </c>
      <c r="G87" s="21" t="s">
        <v>595</v>
      </c>
      <c r="H87" s="1" t="str">
        <f ca="1">IF(OR(I87="this",LEN(I87)&lt;2),B87,CONCATENATE(I87, UPPER(LEFT(B87,1)) &amp; RIGHT(B87,LEN(B87)-1) ))</f>
        <v>pointer</v>
      </c>
      <c r="I87" s="1" t="str">
        <f ca="1">IF(C87&lt;2,"this",IF(C87=C84,I84,IF(C87&gt;C84,H84, LOOKUP(1,0/(H$2:H84=I84),I$2:I87))))</f>
        <v>this</v>
      </c>
      <c r="J87" s="1" t="str">
        <f t="shared" si="18"/>
        <v>createMovieClip</v>
      </c>
      <c r="K87" s="1" t="s">
        <v>640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MovieClip("worldinterface","pointer","LevelBase"{)</v>
      </c>
    </row>
    <row r="88" spans="1:17" x14ac:dyDescent="0.25">
      <c r="A88" s="51"/>
      <c r="B88" s="39" t="s">
        <v>767</v>
      </c>
      <c r="C88" s="1">
        <f t="shared" ref="C88:C92" ca="1" si="28">indent(B88)</f>
        <v>1</v>
      </c>
      <c r="D88" s="1" t="s">
        <v>271</v>
      </c>
      <c r="E88" s="1" t="s">
        <v>134</v>
      </c>
      <c r="F88" s="1" t="s">
        <v>134</v>
      </c>
      <c r="G88" s="30" t="s">
        <v>766</v>
      </c>
      <c r="H88" s="1" t="str">
        <f t="shared" ref="H88:H92" ca="1" si="29">IF(OR(I88="this",LEN(I88)&lt;2),B88,CONCATENATE(I88, UPPER(LEFT(B88,1)) &amp; RIGHT(B88,LEN(B88)-1) ))</f>
        <v>pointerCase</v>
      </c>
      <c r="I88" s="1" t="str">
        <f ca="1">IF(C88&lt;2,"this",IF(C88=C85,I85,IF(C88&gt;C85,H85, LOOKUP(1,0/(H$2:H85=I85),I$2:I88))))</f>
        <v>this</v>
      </c>
      <c r="J88" s="1" t="str">
        <f t="shared" si="18"/>
        <v>createCase</v>
      </c>
      <c r="K88" s="1" t="s">
        <v>640</v>
      </c>
      <c r="L88" s="1"/>
      <c r="M88" s="1"/>
      <c r="N88" s="1"/>
      <c r="O88" s="1"/>
      <c r="P88" s="14" t="str">
        <f t="shared" ca="1" si="19"/>
        <v>MCCase * pointerCase;</v>
      </c>
      <c r="Q88" s="14" t="str">
        <f t="shared" ref="Q88:Q91" ca="1" si="30">IF(C88&gt;0,H88&amp;"= "&amp;I88&amp;"-&gt;"&amp;J88&amp;"("""&amp;K88&amp;""")"&amp;";",IF(RIGHT(B88,3)&lt;&gt;"_mc",G88&amp;"("""&amp;D88&amp;""","""&amp;B88&amp;""","""&amp;K88&amp;"""{)",B88&amp;"::"&amp;B88&amp;":"&amp;G88&amp;"("""&amp;D88&amp;""","""&amp;B88&amp;""","""&amp;K88&amp;"""{)"))</f>
        <v>pointerCase= this-&gt;createCase("LevelBase");</v>
      </c>
    </row>
    <row r="89" spans="1:17" x14ac:dyDescent="0.25">
      <c r="A89" s="51"/>
      <c r="B89" s="39" t="s">
        <v>768</v>
      </c>
      <c r="C89" s="1">
        <f t="shared" ca="1" si="28"/>
        <v>1</v>
      </c>
      <c r="D89" s="1" t="s">
        <v>271</v>
      </c>
      <c r="E89" s="1" t="s">
        <v>134</v>
      </c>
      <c r="F89" s="1" t="s">
        <v>134</v>
      </c>
      <c r="G89" s="30" t="s">
        <v>777</v>
      </c>
      <c r="H89" s="1" t="str">
        <f t="shared" ca="1" si="29"/>
        <v>fireAnima</v>
      </c>
      <c r="I89" s="1" t="str">
        <f ca="1">IF(C89&lt;2,"this",IF(C89=C86,I86,IF(C89&gt;C86,H86, LOOKUP(1,0/(H$2:H86=I86),I$2:I89))))</f>
        <v>this</v>
      </c>
      <c r="J89" s="1" t="str">
        <f t="shared" si="18"/>
        <v>createMovieClipSub</v>
      </c>
      <c r="K89" s="1" t="s">
        <v>640</v>
      </c>
      <c r="L89" s="1"/>
      <c r="M89" s="1"/>
      <c r="N89" s="1"/>
      <c r="O89" s="1"/>
      <c r="P89" s="14" t="str">
        <f t="shared" ca="1" si="19"/>
        <v>MovieClipSub * fireAnima;</v>
      </c>
      <c r="Q89" s="14" t="str">
        <f t="shared" ca="1" si="30"/>
        <v>fireAnima= this-&gt;createMovieClipSub("LevelBase");</v>
      </c>
    </row>
    <row r="90" spans="1:17" x14ac:dyDescent="0.25">
      <c r="A90" s="51"/>
      <c r="B90" s="39" t="s">
        <v>769</v>
      </c>
      <c r="C90" s="1">
        <f t="shared" ca="1" si="28"/>
        <v>1</v>
      </c>
      <c r="D90" s="1" t="s">
        <v>271</v>
      </c>
      <c r="E90" s="1" t="s">
        <v>134</v>
      </c>
      <c r="F90" s="1" t="s">
        <v>134</v>
      </c>
      <c r="G90" s="30" t="s">
        <v>777</v>
      </c>
      <c r="H90" s="1" t="str">
        <f t="shared" ca="1" si="29"/>
        <v>eyesAnima</v>
      </c>
      <c r="I90" s="1" t="str">
        <f ca="1">IF(C90&lt;2,"this",IF(C90=C87,I87,IF(C90&gt;C87,H87, LOOKUP(1,0/(H$2:H87=I87),I$2:I90))))</f>
        <v>this</v>
      </c>
      <c r="J90" s="1" t="str">
        <f t="shared" si="18"/>
        <v>createMovieClipSub</v>
      </c>
      <c r="K90" s="1" t="s">
        <v>640</v>
      </c>
      <c r="L90" s="1"/>
      <c r="M90" s="1"/>
      <c r="N90" s="1"/>
      <c r="O90" s="1"/>
      <c r="P90" s="14" t="str">
        <f t="shared" ca="1" si="19"/>
        <v>MovieClipSub * eyesAnima;</v>
      </c>
      <c r="Q90" s="14" t="str">
        <f t="shared" ca="1" si="30"/>
        <v>eyesAnima= this-&gt;createMovieClipSub("LevelBase");</v>
      </c>
    </row>
    <row r="91" spans="1:17" x14ac:dyDescent="0.25">
      <c r="A91" s="51"/>
      <c r="B91" s="39" t="s">
        <v>775</v>
      </c>
      <c r="C91" s="1">
        <f t="shared" ca="1" si="28"/>
        <v>1</v>
      </c>
      <c r="D91" s="1" t="s">
        <v>271</v>
      </c>
      <c r="E91" s="1" t="s">
        <v>134</v>
      </c>
      <c r="F91" s="1" t="s">
        <v>134</v>
      </c>
      <c r="G91" s="30" t="s">
        <v>766</v>
      </c>
      <c r="H91" s="1" t="str">
        <f t="shared" ca="1" si="29"/>
        <v>mask1</v>
      </c>
      <c r="I91" s="1" t="str">
        <f ca="1">IF(C91&lt;2,"this",IF(C91=C88,I88,IF(C91&gt;C88,H88, LOOKUP(1,0/(H$2:H88=I88),I$2:I91))))</f>
        <v>this</v>
      </c>
      <c r="J91" s="1" t="str">
        <f t="shared" si="18"/>
        <v>createCase</v>
      </c>
      <c r="K91" s="1" t="s">
        <v>640</v>
      </c>
      <c r="L91" s="1"/>
      <c r="M91" s="1"/>
      <c r="N91" s="1"/>
      <c r="O91" s="1"/>
      <c r="P91" s="14" t="str">
        <f t="shared" ca="1" si="19"/>
        <v>MCCase * mask1;</v>
      </c>
      <c r="Q91" s="14" t="str">
        <f t="shared" ca="1" si="30"/>
        <v>mask1= this-&gt;createCase("LevelBase");</v>
      </c>
    </row>
    <row r="92" spans="1:17" x14ac:dyDescent="0.25">
      <c r="A92" s="51"/>
      <c r="B92" s="39" t="s">
        <v>776</v>
      </c>
      <c r="C92" s="1">
        <f t="shared" ca="1" si="28"/>
        <v>1</v>
      </c>
      <c r="D92" s="1" t="s">
        <v>271</v>
      </c>
      <c r="E92" s="1" t="s">
        <v>134</v>
      </c>
      <c r="F92" s="1" t="s">
        <v>134</v>
      </c>
      <c r="G92" s="30" t="s">
        <v>766</v>
      </c>
      <c r="H92" s="1" t="str">
        <f t="shared" ca="1" si="29"/>
        <v>mask2</v>
      </c>
      <c r="I92" s="1" t="str">
        <f ca="1">IF(C92&lt;2,"this",IF(C92=C89,I89,IF(C92&gt;C89,H89, LOOKUP(1,0/(H$2:H89=I89),I$2:I92))))</f>
        <v>this</v>
      </c>
      <c r="J92" s="1" t="str">
        <f t="shared" si="18"/>
        <v>createCase</v>
      </c>
      <c r="K92" s="1" t="s">
        <v>640</v>
      </c>
      <c r="L92" s="1"/>
      <c r="M92" s="1"/>
      <c r="N92" s="1"/>
      <c r="O92" s="1"/>
      <c r="P92" s="14" t="str">
        <f t="shared" ca="1" si="19"/>
        <v>MCCase * mask2;</v>
      </c>
      <c r="Q92" s="14" t="str">
        <f t="shared" ref="Q92" ca="1" si="31">IF(C92&gt;0,H92&amp;"= "&amp;I92&amp;"-&gt;"&amp;J92&amp;"("""&amp;K92&amp;""")"&amp;";",IF(RIGHT(B92,3)&lt;&gt;"_mc",G92&amp;"("""&amp;D92&amp;""","""&amp;B92&amp;""","""&amp;K92&amp;"""{)",B92&amp;"::"&amp;B92&amp;":"&amp;G92&amp;"("""&amp;D92&amp;""","""&amp;B92&amp;""","""&amp;K92&amp;"""{)"))</f>
        <v>mask2= this-&gt;createCase("LevelBase");</v>
      </c>
    </row>
    <row r="93" spans="1:17" x14ac:dyDescent="0.25">
      <c r="A93" s="6"/>
      <c r="B93" s="6" t="s">
        <v>294</v>
      </c>
      <c r="C93" s="1">
        <f t="shared" ca="1" si="21"/>
        <v>0</v>
      </c>
      <c r="D93" s="1" t="s">
        <v>271</v>
      </c>
      <c r="E93" s="1" t="s">
        <v>633</v>
      </c>
      <c r="F93" s="1" t="s">
        <v>633</v>
      </c>
      <c r="G93" s="21" t="s">
        <v>595</v>
      </c>
      <c r="H93" s="1" t="str">
        <f t="shared" ca="1" si="13"/>
        <v>RoadsignFire_mc</v>
      </c>
      <c r="I93" s="1" t="str">
        <f ca="1">IF(C93&lt;2,"this",IF(C93=C87,I87,IF(C93&gt;C87,H87, LOOKUP(1,0/(H$2:H87=I87),I$2:I93))))</f>
        <v>this</v>
      </c>
      <c r="J93" s="1" t="str">
        <f t="shared" si="18"/>
        <v>createMovieClip</v>
      </c>
      <c r="K93" s="1" t="str">
        <f>B93</f>
        <v>RoadsignFire_mc</v>
      </c>
      <c r="L93" s="1"/>
      <c r="M93" s="1"/>
      <c r="N93" s="1"/>
      <c r="O93" s="1"/>
      <c r="P93" s="14" t="str">
        <f t="shared" ca="1" si="19"/>
        <v/>
      </c>
      <c r="Q93" s="14" t="str">
        <f t="shared" ca="1" si="20"/>
        <v>RoadsignFire_mc::RoadsignFire_mc:MovieClip("worldinterface","RoadsignFire_mc","RoadsignFire_mc"{)</v>
      </c>
    </row>
    <row r="94" spans="1:17" x14ac:dyDescent="0.25">
      <c r="A94" s="6"/>
      <c r="B94" s="1" t="s">
        <v>285</v>
      </c>
      <c r="C94" s="1">
        <f t="shared" ca="1" si="21"/>
        <v>0</v>
      </c>
      <c r="D94" s="1" t="s">
        <v>271</v>
      </c>
      <c r="E94" s="1" t="s">
        <v>633</v>
      </c>
      <c r="F94" s="1" t="s">
        <v>633</v>
      </c>
      <c r="G94" s="21" t="s">
        <v>595</v>
      </c>
      <c r="H94" s="1" t="str">
        <f t="shared" ca="1" si="13"/>
        <v>RoadsignIce_mc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2"/>
        <v>RoadsignIce_mc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RoadsignIce_mc::RoadsignIce_mc:MovieClip("worldinterface","RoadsignIce_mc","RoadsignIce_mc"{)</v>
      </c>
    </row>
    <row r="95" spans="1:17" x14ac:dyDescent="0.25">
      <c r="A95" s="6"/>
      <c r="B95" s="1" t="s">
        <v>286</v>
      </c>
      <c r="C95" s="1">
        <f t="shared" ca="1" si="21"/>
        <v>0</v>
      </c>
      <c r="D95" s="1" t="s">
        <v>271</v>
      </c>
      <c r="E95" s="1" t="s">
        <v>633</v>
      </c>
      <c r="F95" s="1" t="s">
        <v>633</v>
      </c>
      <c r="G95" s="21" t="s">
        <v>595</v>
      </c>
      <c r="H95" s="1" t="str">
        <f t="shared" ca="1" si="13"/>
        <v>RoadsignStone_mc</v>
      </c>
      <c r="I95" s="1" t="str">
        <f ca="1">IF(C95&lt;2,"this",IF(C95=C94,I94,IF(C95&gt;C94,H94, LOOKUP(1,0/(H$2:H94=I94),I$2:I95))))</f>
        <v>this</v>
      </c>
      <c r="J95" s="1" t="str">
        <f t="shared" si="18"/>
        <v>createMovieClip</v>
      </c>
      <c r="K95" s="1" t="str">
        <f t="shared" si="22"/>
        <v>RoadsignStone_mc</v>
      </c>
      <c r="L95" s="1"/>
      <c r="M95" s="1"/>
      <c r="N95" s="1"/>
      <c r="O95" s="1"/>
      <c r="P95" s="14" t="str">
        <f t="shared" ca="1" si="19"/>
        <v/>
      </c>
      <c r="Q95" s="14" t="str">
        <f t="shared" ca="1" si="20"/>
        <v>RoadsignStone_mc::RoadsignStone_mc:MovieClip("worldinterface","RoadsignStone_mc","RoadsignStone_mc"{)</v>
      </c>
    </row>
    <row r="96" spans="1:17" x14ac:dyDescent="0.25">
      <c r="A96" s="6"/>
      <c r="B96" s="1" t="s">
        <v>287</v>
      </c>
      <c r="C96" s="1">
        <f t="shared" ca="1" si="21"/>
        <v>0</v>
      </c>
      <c r="D96" s="1" t="s">
        <v>271</v>
      </c>
      <c r="E96" s="1" t="s">
        <v>633</v>
      </c>
      <c r="F96" s="1" t="s">
        <v>633</v>
      </c>
      <c r="G96" s="21" t="s">
        <v>595</v>
      </c>
      <c r="H96" s="1" t="str">
        <f t="shared" ca="1" si="13"/>
        <v>RoadsignLevin_mc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2"/>
        <v>RoadsignLevin_mc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RoadsignLevin_mc::RoadsignLevin_mc:MovieClip("worldinterface","RoadsignLevin_mc","RoadsignLevin_mc"{)</v>
      </c>
    </row>
    <row r="97" spans="1:17" s="35" customFormat="1" x14ac:dyDescent="0.25">
      <c r="A97" s="31"/>
      <c r="B97" s="32" t="s">
        <v>291</v>
      </c>
      <c r="C97" s="32">
        <f t="shared" ca="1" si="21"/>
        <v>0</v>
      </c>
      <c r="D97" s="32" t="s">
        <v>284</v>
      </c>
      <c r="E97" s="32"/>
      <c r="F97" s="32"/>
      <c r="G97" s="33" t="s">
        <v>595</v>
      </c>
      <c r="H97" s="32" t="str">
        <f t="shared" ca="1" si="13"/>
        <v>Level2_mc</v>
      </c>
      <c r="I97" s="32" t="str">
        <f ca="1">IF(C97&lt;2,"this",IF(C97=C96,I96,IF(C97&gt;C96,H96, LOOKUP(1,0/(H$2:H96=I96),I$2:I97))))</f>
        <v>this</v>
      </c>
      <c r="J97" s="32" t="str">
        <f t="shared" si="18"/>
        <v>createMovieClip</v>
      </c>
      <c r="K97" s="32" t="str">
        <f t="shared" ref="K97:K106" si="32">B97</f>
        <v>Level2_mc</v>
      </c>
      <c r="L97" s="32"/>
      <c r="M97" s="32"/>
      <c r="N97" s="32"/>
      <c r="O97" s="32"/>
      <c r="P97" s="34" t="str">
        <f t="shared" ca="1" si="19"/>
        <v/>
      </c>
      <c r="Q97" s="34" t="str">
        <f t="shared" ca="1" si="20"/>
        <v>Level2_mc::Level2_mc:MovieClip("worldinterface/level","Level2_mc","Level2_mc"{)</v>
      </c>
    </row>
    <row r="98" spans="1:17" s="35" customFormat="1" x14ac:dyDescent="0.25">
      <c r="A98" s="31"/>
      <c r="B98" s="32" t="s">
        <v>292</v>
      </c>
      <c r="C98" s="32">
        <f t="shared" ca="1" si="21"/>
        <v>0</v>
      </c>
      <c r="D98" s="32" t="s">
        <v>284</v>
      </c>
      <c r="E98" s="32"/>
      <c r="F98" s="32"/>
      <c r="G98" s="33" t="s">
        <v>595</v>
      </c>
      <c r="H98" s="32" t="str">
        <f t="shared" ca="1" si="13"/>
        <v>Level3_mc</v>
      </c>
      <c r="I98" s="32" t="str">
        <f ca="1">IF(C98&lt;2,"this",IF(C98=C97,I97,IF(C98&gt;C97,H97, LOOKUP(1,0/(H$2:H97=I97),I$2:I98))))</f>
        <v>this</v>
      </c>
      <c r="J98" s="32" t="str">
        <f t="shared" si="18"/>
        <v>createMovieClip</v>
      </c>
      <c r="K98" s="32" t="str">
        <f t="shared" si="32"/>
        <v>Level3_mc</v>
      </c>
      <c r="L98" s="32"/>
      <c r="M98" s="32"/>
      <c r="N98" s="32"/>
      <c r="O98" s="32"/>
      <c r="P98" s="34" t="str">
        <f t="shared" ca="1" si="19"/>
        <v/>
      </c>
      <c r="Q98" s="34" t="str">
        <f t="shared" ca="1" si="20"/>
        <v>Level3_mc::Level3_mc:MovieClip("worldinterface/level","Level3_mc","Level3_mc"{)</v>
      </c>
    </row>
    <row r="99" spans="1:17" s="35" customFormat="1" x14ac:dyDescent="0.25">
      <c r="A99" s="31"/>
      <c r="B99" s="32" t="s">
        <v>293</v>
      </c>
      <c r="C99" s="32">
        <f t="shared" ca="1" si="21"/>
        <v>0</v>
      </c>
      <c r="D99" s="32" t="s">
        <v>284</v>
      </c>
      <c r="E99" s="32"/>
      <c r="F99" s="32"/>
      <c r="G99" s="33" t="s">
        <v>595</v>
      </c>
      <c r="H99" s="32" t="str">
        <f t="shared" ca="1" si="13"/>
        <v>Level4_mc</v>
      </c>
      <c r="I99" s="32" t="str">
        <f ca="1">IF(C99&lt;2,"this",IF(C99=C98,I98,IF(C99&gt;C98,H98, LOOKUP(1,0/(H$2:H98=I98),I$2:I99))))</f>
        <v>this</v>
      </c>
      <c r="J99" s="32" t="str">
        <f t="shared" si="18"/>
        <v>createMovieClip</v>
      </c>
      <c r="K99" s="32" t="str">
        <f t="shared" si="32"/>
        <v>Level4_mc</v>
      </c>
      <c r="L99" s="32"/>
      <c r="M99" s="32"/>
      <c r="N99" s="32"/>
      <c r="O99" s="32"/>
      <c r="P99" s="34" t="str">
        <f t="shared" ca="1" si="19"/>
        <v/>
      </c>
      <c r="Q99" s="34" t="str">
        <f t="shared" ca="1" si="20"/>
        <v>Level4_mc::Level4_mc:MovieClip("worldinterface/level","Level4_mc","Level4_mc"{)</v>
      </c>
    </row>
    <row r="100" spans="1:17" x14ac:dyDescent="0.25">
      <c r="A100" s="6" t="s">
        <v>289</v>
      </c>
      <c r="B100" s="1" t="s">
        <v>290</v>
      </c>
      <c r="C100" s="1">
        <f t="shared" ca="1" si="21"/>
        <v>0</v>
      </c>
      <c r="D100" s="1" t="s">
        <v>271</v>
      </c>
      <c r="E100" s="1" t="s">
        <v>633</v>
      </c>
      <c r="F100" s="1" t="s">
        <v>633</v>
      </c>
      <c r="G100" s="21" t="s">
        <v>595</v>
      </c>
      <c r="H100" s="1" t="str">
        <f t="shared" ca="1" si="13"/>
        <v>BonusMoney_mc</v>
      </c>
      <c r="I100" s="1" t="str">
        <f ca="1">IF(C100&lt;2,"this",IF(C100=C99,I99,IF(C100&gt;C99,H99, LOOKUP(1,0/(H$2:H99=I99),I$2:I100))))</f>
        <v>this</v>
      </c>
      <c r="J100" s="1" t="str">
        <f t="shared" si="18"/>
        <v>createMovieClip</v>
      </c>
      <c r="K100" s="1" t="str">
        <f t="shared" si="32"/>
        <v>BonusMoney_mc</v>
      </c>
      <c r="L100" s="1"/>
      <c r="M100" s="1"/>
      <c r="N100" s="1"/>
      <c r="O100" s="1"/>
      <c r="P100" s="14" t="str">
        <f t="shared" ca="1" si="19"/>
        <v/>
      </c>
      <c r="Q100" s="14" t="str">
        <f t="shared" ca="1" si="20"/>
        <v>BonusMoney_mc::BonusMoney_mc:MovieClip("worldinterface","BonusMoney_mc","BonusMoney_mc"{)</v>
      </c>
    </row>
    <row r="101" spans="1:17" x14ac:dyDescent="0.25">
      <c r="A101" s="6"/>
      <c r="B101" s="3" t="s">
        <v>84</v>
      </c>
      <c r="C101" s="1">
        <f t="shared" ca="1" si="21"/>
        <v>1</v>
      </c>
      <c r="D101" s="1" t="s">
        <v>271</v>
      </c>
      <c r="E101" s="1" t="s">
        <v>633</v>
      </c>
      <c r="F101" s="1" t="s">
        <v>633</v>
      </c>
      <c r="G101" s="1" t="s">
        <v>594</v>
      </c>
      <c r="H101" s="1" t="str">
        <f t="shared" ca="1" si="13"/>
        <v>cont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createMovieClipSub</v>
      </c>
      <c r="K101" s="1" t="str">
        <f t="shared" si="32"/>
        <v>cont</v>
      </c>
      <c r="L101" s="1"/>
      <c r="M101" s="1"/>
      <c r="N101" s="1"/>
      <c r="O101" s="1"/>
      <c r="P101" s="14" t="str">
        <f t="shared" ca="1" si="19"/>
        <v>MovieClipSub * cont;</v>
      </c>
      <c r="Q101" s="14" t="str">
        <f t="shared" ca="1" si="20"/>
        <v>cont= this-&gt;createMovieClipSub("cont");</v>
      </c>
    </row>
    <row r="102" spans="1:17" x14ac:dyDescent="0.25">
      <c r="A102" s="6"/>
      <c r="B102" s="4" t="s">
        <v>162</v>
      </c>
      <c r="C102" s="1">
        <f t="shared" ca="1" si="21"/>
        <v>2</v>
      </c>
      <c r="D102" s="1" t="s">
        <v>271</v>
      </c>
      <c r="E102" s="1" t="s">
        <v>633</v>
      </c>
      <c r="F102" s="1" t="s">
        <v>633</v>
      </c>
      <c r="G102" s="1" t="s">
        <v>684</v>
      </c>
      <c r="H102" s="1" t="str">
        <f t="shared" ca="1" si="13"/>
        <v>contNoteTXT</v>
      </c>
      <c r="I102" s="1" t="str">
        <f ca="1">IF(C102&lt;2,"this",IF(C102=C101,I101,IF(C102&gt;C101,H101, LOOKUP(1,0/(H$2:H101=I101),I$2:I102))))</f>
        <v>cont</v>
      </c>
      <c r="J102" s="1" t="str">
        <f t="shared" si="18"/>
        <v>createText</v>
      </c>
      <c r="K102" s="1" t="str">
        <f t="shared" si="32"/>
        <v>noteTXT</v>
      </c>
      <c r="L102" s="1"/>
      <c r="M102" s="1"/>
      <c r="N102" s="1"/>
      <c r="O102" s="1"/>
      <c r="P102" s="14" t="str">
        <f t="shared" ca="1" si="19"/>
        <v>MCText * contNoteTXT;</v>
      </c>
      <c r="Q102" s="14" t="str">
        <f t="shared" ca="1" si="20"/>
        <v>contNoteTXT= cont-&gt;createText("noteTXT");</v>
      </c>
    </row>
    <row r="103" spans="1:17" x14ac:dyDescent="0.25">
      <c r="A103" s="6" t="s">
        <v>295</v>
      </c>
      <c r="B103" s="1" t="s">
        <v>638</v>
      </c>
      <c r="C103" s="1">
        <f t="shared" ca="1" si="21"/>
        <v>0</v>
      </c>
      <c r="D103" s="1" t="s">
        <v>271</v>
      </c>
      <c r="E103" s="1" t="s">
        <v>633</v>
      </c>
      <c r="F103" s="1" t="s">
        <v>633</v>
      </c>
      <c r="G103" s="21" t="s">
        <v>595</v>
      </c>
      <c r="H103" s="1" t="str">
        <f t="shared" ca="1" si="13"/>
        <v>MoneyAdd_mc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createMovieClip</v>
      </c>
      <c r="K103" s="1" t="str">
        <f t="shared" si="32"/>
        <v>MoneyAdd_mc</v>
      </c>
      <c r="L103" s="1"/>
      <c r="M103" s="1"/>
      <c r="N103" s="1"/>
      <c r="O103" s="1"/>
      <c r="P103" s="14" t="str">
        <f t="shared" ca="1" si="19"/>
        <v/>
      </c>
      <c r="Q103" s="14" t="str">
        <f t="shared" ca="1" si="20"/>
        <v>MoneyAdd_mc::MoneyAdd_mc:MovieClip("worldinterface","MoneyAdd_mc","MoneyAdd_mc"{)</v>
      </c>
    </row>
    <row r="104" spans="1:17" x14ac:dyDescent="0.25">
      <c r="A104" s="6"/>
      <c r="B104" s="3" t="s">
        <v>162</v>
      </c>
      <c r="C104" s="1">
        <f t="shared" ca="1" si="21"/>
        <v>1</v>
      </c>
      <c r="D104" s="1" t="s">
        <v>271</v>
      </c>
      <c r="E104" s="1" t="s">
        <v>633</v>
      </c>
      <c r="F104" s="1" t="s">
        <v>633</v>
      </c>
      <c r="G104" s="1" t="s">
        <v>684</v>
      </c>
      <c r="H104" s="1" t="str">
        <f t="shared" ref="H104" ca="1" si="33">IF(OR(I104="this",LEN(I104)&lt;2),B104,CONCATENATE(I104, UPPER(LEFT(B104,1)) &amp; RIGHT(B104,LEN(B104)-1) ))</f>
        <v>noteTXT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createText</v>
      </c>
      <c r="K104" s="1" t="str">
        <f t="shared" ref="K104" si="34">B104</f>
        <v>noteTXT</v>
      </c>
      <c r="L104" s="1"/>
      <c r="M104" s="1"/>
      <c r="N104" s="1"/>
      <c r="O104" s="1"/>
      <c r="P104" s="14" t="str">
        <f t="shared" ca="1" si="19"/>
        <v>MCText * noteTXT;</v>
      </c>
      <c r="Q104" s="14" t="str">
        <f t="shared" ca="1" si="20"/>
        <v>noteTXT= this-&gt;createText("noteTXT");</v>
      </c>
    </row>
    <row r="105" spans="1:17" x14ac:dyDescent="0.25">
      <c r="A105" s="6" t="s">
        <v>296</v>
      </c>
      <c r="B105" s="1" t="s">
        <v>635</v>
      </c>
      <c r="C105" s="1">
        <f t="shared" ca="1" si="21"/>
        <v>0</v>
      </c>
      <c r="D105" s="1" t="s">
        <v>271</v>
      </c>
      <c r="E105" s="1" t="s">
        <v>633</v>
      </c>
      <c r="F105" s="1" t="s">
        <v>633</v>
      </c>
      <c r="G105" s="21" t="s">
        <v>595</v>
      </c>
      <c r="H105" s="1" t="str">
        <f ca="1">IF(OR(I105="this",LEN(I105)&lt;2),B105,CONCATENATE(I105, UPPER(LEFT(B105,1)) &amp; RIGHT(B105,LEN(B105)-1) ))</f>
        <v>SavedCastTime_mc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createMovieClip</v>
      </c>
      <c r="K105" s="1" t="str">
        <f t="shared" si="32"/>
        <v>SavedCastTime_mc</v>
      </c>
      <c r="L105" s="1"/>
      <c r="M105" s="1"/>
      <c r="N105" s="1"/>
      <c r="O105" s="1"/>
      <c r="P105" s="14" t="str">
        <f t="shared" ca="1" si="19"/>
        <v/>
      </c>
      <c r="Q105" s="14" t="str">
        <f t="shared" ca="1" si="20"/>
        <v>SavedCastTime_mc::SavedCastTime_mc:MovieClip("worldinterface","SavedCastTime_mc","SavedCastTime_mc"{)</v>
      </c>
    </row>
    <row r="106" spans="1:17" x14ac:dyDescent="0.25">
      <c r="A106" s="6"/>
      <c r="B106" s="3" t="s">
        <v>84</v>
      </c>
      <c r="C106" s="1">
        <f t="shared" ca="1" si="21"/>
        <v>1</v>
      </c>
      <c r="D106" s="1" t="s">
        <v>271</v>
      </c>
      <c r="E106" s="1" t="s">
        <v>633</v>
      </c>
      <c r="F106" s="1" t="s">
        <v>633</v>
      </c>
      <c r="G106" s="1" t="s">
        <v>636</v>
      </c>
      <c r="H106" s="1" t="str">
        <f t="shared" ref="H106:H119" ca="1" si="35">IF(OR(I106="this",LEN(I106)&lt;2),B106,CONCATENATE(I106, UPPER(LEFT(B106,1)) &amp; RIGHT(B106,LEN(B106)-1) ))</f>
        <v>cont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createMovieClipSub</v>
      </c>
      <c r="K106" s="1" t="str">
        <f t="shared" si="32"/>
        <v>cont</v>
      </c>
      <c r="L106" s="1"/>
      <c r="M106" s="1"/>
      <c r="N106" s="1"/>
      <c r="O106" s="1"/>
      <c r="P106" s="14" t="str">
        <f t="shared" ca="1" si="19"/>
        <v>MovieClipSub * cont;</v>
      </c>
      <c r="Q106" s="14" t="str">
        <f t="shared" ca="1" si="20"/>
        <v>cont= this-&gt;createMovieClipSub("cont");</v>
      </c>
    </row>
    <row r="107" spans="1:17" x14ac:dyDescent="0.25">
      <c r="A107" s="6"/>
      <c r="B107" s="4" t="s">
        <v>637</v>
      </c>
      <c r="C107" s="1">
        <f t="shared" ca="1" si="21"/>
        <v>2</v>
      </c>
      <c r="D107" s="1" t="s">
        <v>271</v>
      </c>
      <c r="E107" s="1" t="s">
        <v>633</v>
      </c>
      <c r="F107" s="1" t="s">
        <v>633</v>
      </c>
      <c r="G107" s="1" t="s">
        <v>684</v>
      </c>
      <c r="H107" s="1" t="str">
        <f t="shared" ca="1" si="35"/>
        <v>contNoteTXT</v>
      </c>
      <c r="I107" s="1" t="str">
        <f ca="1">IF(C107&lt;2,"this",IF(C107=C106,I106,IF(C107&gt;C106,H106, LOOKUP(1,0/(H$2:H106=I106),I$2:I107))))</f>
        <v>cont</v>
      </c>
      <c r="J107" s="1" t="str">
        <f t="shared" si="18"/>
        <v>createText</v>
      </c>
      <c r="K107" s="1" t="str">
        <f t="shared" ref="K107" si="36">B107</f>
        <v>noteTXT</v>
      </c>
      <c r="L107" s="1"/>
      <c r="M107" s="1"/>
      <c r="N107" s="1"/>
      <c r="O107" s="1"/>
      <c r="P107" s="14" t="str">
        <f t="shared" ca="1" si="19"/>
        <v>MCText * contNoteTXT;</v>
      </c>
      <c r="Q107" s="14" t="str">
        <f t="shared" ca="1" si="20"/>
        <v>contNoteTXT= cont-&gt;createText("noteTXT");</v>
      </c>
    </row>
    <row r="108" spans="1:17" ht="27.6" x14ac:dyDescent="0.25">
      <c r="A108" s="36" t="s">
        <v>692</v>
      </c>
      <c r="B108" s="1" t="s">
        <v>634</v>
      </c>
      <c r="C108" s="1">
        <f t="shared" ca="1" si="21"/>
        <v>0</v>
      </c>
      <c r="D108" s="1" t="s">
        <v>271</v>
      </c>
      <c r="E108" s="1" t="s">
        <v>633</v>
      </c>
      <c r="F108" s="1" t="s">
        <v>633</v>
      </c>
      <c r="G108" s="21" t="s">
        <v>595</v>
      </c>
      <c r="H108" s="1" t="str">
        <f t="shared" ca="1" si="35"/>
        <v>CastMask_mc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createMovieClip</v>
      </c>
      <c r="K108" s="1" t="str">
        <f t="shared" ref="K108:K119" si="37">B108</f>
        <v>CastMask_mc</v>
      </c>
      <c r="L108" s="1"/>
      <c r="M108" s="1"/>
      <c r="N108" s="1"/>
      <c r="O108" s="1"/>
      <c r="P108" s="14" t="str">
        <f t="shared" ca="1" si="19"/>
        <v/>
      </c>
      <c r="Q108" s="14" t="str">
        <f t="shared" ca="1" si="20"/>
        <v>CastMask_mc::CastMask_mc:MovieClip("worldinterface","CastMask_mc","CastMask_mc"{)</v>
      </c>
    </row>
    <row r="109" spans="1:17" x14ac:dyDescent="0.25">
      <c r="A109" s="6"/>
      <c r="B109" s="3" t="s">
        <v>259</v>
      </c>
      <c r="C109" s="1">
        <f t="shared" ca="1" si="21"/>
        <v>1</v>
      </c>
      <c r="D109" s="1" t="s">
        <v>271</v>
      </c>
      <c r="E109" s="1" t="s">
        <v>633</v>
      </c>
      <c r="F109" s="1" t="s">
        <v>633</v>
      </c>
      <c r="G109" s="1" t="s">
        <v>682</v>
      </c>
      <c r="H109" s="1" t="str">
        <f t="shared" ca="1" si="35"/>
        <v xml:space="preserve">archiveCase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37"/>
        <v xml:space="preserve">archiveCase  </v>
      </c>
      <c r="L109" s="1"/>
      <c r="M109" s="1"/>
      <c r="N109" s="1"/>
      <c r="O109" s="1"/>
      <c r="P109" s="14" t="str">
        <f t="shared" ca="1" si="19"/>
        <v>MCCase * archiveCase  ;</v>
      </c>
      <c r="Q109" s="14" t="str">
        <f t="shared" ca="1" si="20"/>
        <v>archiveCase  = this-&gt;createCase("archiveCase  ");</v>
      </c>
    </row>
    <row r="110" spans="1:17" x14ac:dyDescent="0.25">
      <c r="A110" s="6"/>
      <c r="B110" s="3" t="s">
        <v>258</v>
      </c>
      <c r="C110" s="1">
        <f t="shared" ca="1" si="21"/>
        <v>1</v>
      </c>
      <c r="D110" s="1" t="s">
        <v>271</v>
      </c>
      <c r="E110" s="1" t="s">
        <v>633</v>
      </c>
      <c r="F110" s="1" t="s">
        <v>633</v>
      </c>
      <c r="G110" s="1" t="s">
        <v>682</v>
      </c>
      <c r="H110" s="1" t="str">
        <f t="shared" ca="1" si="35"/>
        <v xml:space="preserve">castAirCase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37"/>
        <v xml:space="preserve">castAirCase   </v>
      </c>
      <c r="L110" s="1"/>
      <c r="M110" s="1"/>
      <c r="N110" s="1"/>
      <c r="O110" s="1"/>
      <c r="P110" s="14" t="str">
        <f t="shared" ca="1" si="19"/>
        <v>MCCase * castAirCase   ;</v>
      </c>
      <c r="Q110" s="14" t="str">
        <f t="shared" ca="1" si="20"/>
        <v>castAirCase   = this-&gt;createCase("castAirCase   ");</v>
      </c>
    </row>
    <row r="111" spans="1:17" x14ac:dyDescent="0.25">
      <c r="A111" s="6"/>
      <c r="B111" s="3" t="s">
        <v>260</v>
      </c>
      <c r="C111" s="1">
        <f t="shared" ca="1" si="21"/>
        <v>1</v>
      </c>
      <c r="D111" s="1" t="s">
        <v>271</v>
      </c>
      <c r="E111" s="1" t="s">
        <v>633</v>
      </c>
      <c r="F111" s="1" t="s">
        <v>633</v>
      </c>
      <c r="G111" s="1" t="s">
        <v>682</v>
      </c>
      <c r="H111" s="1" t="str">
        <f t="shared" ca="1" si="35"/>
        <v>castGolemCase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createCase</v>
      </c>
      <c r="K111" s="1" t="str">
        <f t="shared" si="37"/>
        <v>castGolemCase</v>
      </c>
      <c r="L111" s="1"/>
      <c r="M111" s="1"/>
      <c r="N111" s="1"/>
      <c r="O111" s="1"/>
      <c r="P111" s="14" t="str">
        <f t="shared" ca="1" si="19"/>
        <v>MCCase * castGolemCase;</v>
      </c>
      <c r="Q111" s="14" t="str">
        <f t="shared" ca="1" si="20"/>
        <v>castGolemCase= this-&gt;createCase("castGolemCase");</v>
      </c>
    </row>
    <row r="112" spans="1:17" x14ac:dyDescent="0.25">
      <c r="A112" s="6"/>
      <c r="B112" s="3" t="s">
        <v>261</v>
      </c>
      <c r="C112" s="1">
        <f t="shared" ca="1" si="21"/>
        <v>1</v>
      </c>
      <c r="D112" s="1" t="s">
        <v>271</v>
      </c>
      <c r="E112" s="1" t="s">
        <v>633</v>
      </c>
      <c r="F112" s="1" t="s">
        <v>633</v>
      </c>
      <c r="G112" s="1" t="s">
        <v>682</v>
      </c>
      <c r="H112" s="1" t="str">
        <f t="shared" ca="1" si="35"/>
        <v>castIcemanCase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createCase</v>
      </c>
      <c r="K112" s="1" t="str">
        <f t="shared" si="37"/>
        <v>castIcemanCase</v>
      </c>
      <c r="L112" s="1"/>
      <c r="M112" s="1"/>
      <c r="N112" s="1"/>
      <c r="O112" s="1"/>
      <c r="P112" s="14" t="str">
        <f t="shared" ca="1" si="19"/>
        <v>MCCase * castIcemanCase;</v>
      </c>
      <c r="Q112" s="14" t="str">
        <f t="shared" ca="1" si="20"/>
        <v>castIcemanCase= this-&gt;createCase("castIcemanCase");</v>
      </c>
    </row>
    <row r="113" spans="1:17" x14ac:dyDescent="0.25">
      <c r="A113" s="6"/>
      <c r="B113" s="3" t="s">
        <v>262</v>
      </c>
      <c r="C113" s="1">
        <f t="shared" ca="1" si="21"/>
        <v>1</v>
      </c>
      <c r="D113" s="1" t="s">
        <v>271</v>
      </c>
      <c r="E113" s="1" t="s">
        <v>633</v>
      </c>
      <c r="F113" s="1" t="s">
        <v>633</v>
      </c>
      <c r="G113" s="1" t="s">
        <v>682</v>
      </c>
      <c r="H113" s="1" t="str">
        <f t="shared" ca="1" si="35"/>
        <v xml:space="preserve">fireCase   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createCase</v>
      </c>
      <c r="K113" s="1" t="str">
        <f t="shared" si="37"/>
        <v xml:space="preserve">fireCase   </v>
      </c>
      <c r="L113" s="1"/>
      <c r="M113" s="1"/>
      <c r="N113" s="1"/>
      <c r="O113" s="1"/>
      <c r="P113" s="14" t="str">
        <f t="shared" ca="1" si="19"/>
        <v>MCCase * fireCase   ;</v>
      </c>
      <c r="Q113" s="14" t="str">
        <f t="shared" ca="1" si="20"/>
        <v>fireCase   = this-&gt;createCase("fireCase   ");</v>
      </c>
    </row>
    <row r="114" spans="1:17" x14ac:dyDescent="0.25">
      <c r="A114" s="6"/>
      <c r="B114" s="3" t="s">
        <v>263</v>
      </c>
      <c r="C114" s="1">
        <f t="shared" ca="1" si="21"/>
        <v>1</v>
      </c>
      <c r="D114" s="1" t="s">
        <v>271</v>
      </c>
      <c r="E114" s="1" t="s">
        <v>633</v>
      </c>
      <c r="F114" s="1" t="s">
        <v>633</v>
      </c>
      <c r="G114" s="1" t="s">
        <v>682</v>
      </c>
      <c r="H114" s="1" t="str">
        <f t="shared" ca="1" si="35"/>
        <v xml:space="preserve">getAllCase  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createCase</v>
      </c>
      <c r="K114" s="1" t="str">
        <f t="shared" si="37"/>
        <v xml:space="preserve">getAllCase  </v>
      </c>
      <c r="L114" s="1"/>
      <c r="M114" s="1"/>
      <c r="N114" s="1"/>
      <c r="O114" s="1"/>
      <c r="P114" s="14" t="str">
        <f t="shared" ca="1" si="19"/>
        <v>MCCase * getAllCase  ;</v>
      </c>
      <c r="Q114" s="14" t="str">
        <f t="shared" ca="1" si="20"/>
        <v>getAllCase  = this-&gt;createCase("getAllCase  ");</v>
      </c>
    </row>
    <row r="115" spans="1:17" x14ac:dyDescent="0.25">
      <c r="A115" s="6"/>
      <c r="B115" s="3" t="s">
        <v>267</v>
      </c>
      <c r="C115" s="1">
        <f t="shared" ca="1" si="21"/>
        <v>1</v>
      </c>
      <c r="D115" s="1" t="s">
        <v>271</v>
      </c>
      <c r="E115" s="1" t="s">
        <v>633</v>
      </c>
      <c r="F115" s="1" t="s">
        <v>633</v>
      </c>
      <c r="G115" s="1" t="s">
        <v>682</v>
      </c>
      <c r="H115" s="1" t="str">
        <f t="shared" ca="1" si="35"/>
        <v xml:space="preserve">iceCase   </v>
      </c>
      <c r="I115" s="1" t="str">
        <f ca="1">IF(C115&lt;2,"this",IF(C115=C114,I114,IF(C115&gt;C114,H114, LOOKUP(1,0/(H$2:H114=I114),I$2:I115))))</f>
        <v>this</v>
      </c>
      <c r="J115" s="1" t="str">
        <f t="shared" si="18"/>
        <v>createCase</v>
      </c>
      <c r="K115" s="1" t="str">
        <f t="shared" si="37"/>
        <v xml:space="preserve">iceCase   </v>
      </c>
      <c r="L115" s="1"/>
      <c r="M115" s="1"/>
      <c r="N115" s="1"/>
      <c r="O115" s="1"/>
      <c r="P115" s="14" t="str">
        <f t="shared" ca="1" si="19"/>
        <v>MCCase * iceCase   ;</v>
      </c>
      <c r="Q115" s="14" t="str">
        <f t="shared" ca="1" si="20"/>
        <v>iceCase   = this-&gt;createCase("iceCase   ");</v>
      </c>
    </row>
    <row r="116" spans="1:17" x14ac:dyDescent="0.25">
      <c r="A116" s="6"/>
      <c r="B116" s="3" t="s">
        <v>257</v>
      </c>
      <c r="C116" s="1">
        <f t="shared" ca="1" si="21"/>
        <v>1</v>
      </c>
      <c r="D116" s="1" t="s">
        <v>271</v>
      </c>
      <c r="E116" s="1" t="s">
        <v>633</v>
      </c>
      <c r="F116" s="1" t="s">
        <v>633</v>
      </c>
      <c r="G116" s="1" t="s">
        <v>682</v>
      </c>
      <c r="H116" s="1" t="str">
        <f t="shared" ca="1" si="35"/>
        <v xml:space="preserve">interfaceUpCase </v>
      </c>
      <c r="I116" s="1" t="str">
        <f ca="1">IF(C116&lt;2,"this",IF(C116=C115,I115,IF(C116&gt;C115,H115, LOOKUP(1,0/(H$2:H115=I115),I$2:I116))))</f>
        <v>this</v>
      </c>
      <c r="J116" s="1" t="str">
        <f t="shared" si="18"/>
        <v>createCase</v>
      </c>
      <c r="K116" s="1" t="str">
        <f t="shared" si="37"/>
        <v xml:space="preserve">interfaceUpCase </v>
      </c>
      <c r="L116" s="1"/>
      <c r="M116" s="1"/>
      <c r="N116" s="1"/>
      <c r="O116" s="1"/>
      <c r="P116" s="14" t="str">
        <f t="shared" ca="1" si="19"/>
        <v>MCCase * interfaceUpCase ;</v>
      </c>
      <c r="Q116" s="14" t="str">
        <f t="shared" ca="1" si="20"/>
        <v>interfaceUpCase = this-&gt;createCase("interfaceUpCase ");</v>
      </c>
    </row>
    <row r="117" spans="1:17" x14ac:dyDescent="0.25">
      <c r="A117" s="6"/>
      <c r="B117" s="3" t="s">
        <v>266</v>
      </c>
      <c r="C117" s="1">
        <f t="shared" ca="1" si="21"/>
        <v>1</v>
      </c>
      <c r="D117" s="1" t="s">
        <v>271</v>
      </c>
      <c r="E117" s="1" t="s">
        <v>633</v>
      </c>
      <c r="F117" s="1" t="s">
        <v>633</v>
      </c>
      <c r="G117" s="1" t="s">
        <v>682</v>
      </c>
      <c r="H117" s="1" t="str">
        <f t="shared" ca="1" si="35"/>
        <v xml:space="preserve">levinCase   </v>
      </c>
      <c r="I117" s="1" t="str">
        <f ca="1">IF(C117&lt;2,"this",IF(C117=C116,I116,IF(C117&gt;C116,H116, LOOKUP(1,0/(H$2:H116=I116),I$2:I117))))</f>
        <v>this</v>
      </c>
      <c r="J117" s="1" t="str">
        <f t="shared" si="18"/>
        <v>createCase</v>
      </c>
      <c r="K117" s="1" t="str">
        <f t="shared" si="37"/>
        <v xml:space="preserve">levinCase   </v>
      </c>
      <c r="L117" s="1"/>
      <c r="M117" s="1"/>
      <c r="N117" s="1"/>
      <c r="O117" s="1"/>
      <c r="P117" s="14" t="str">
        <f t="shared" ca="1" si="19"/>
        <v>MCCase * levinCase   ;</v>
      </c>
      <c r="Q117" s="14" t="str">
        <f t="shared" ca="1" si="20"/>
        <v>levinCase   = this-&gt;createCase("levinCase   ");</v>
      </c>
    </row>
    <row r="118" spans="1:17" x14ac:dyDescent="0.25">
      <c r="A118" s="6"/>
      <c r="B118" s="3" t="s">
        <v>265</v>
      </c>
      <c r="C118" s="1">
        <f t="shared" ca="1" si="21"/>
        <v>1</v>
      </c>
      <c r="D118" s="1" t="s">
        <v>271</v>
      </c>
      <c r="E118" s="1" t="s">
        <v>633</v>
      </c>
      <c r="F118" s="1" t="s">
        <v>633</v>
      </c>
      <c r="G118" s="1" t="s">
        <v>682</v>
      </c>
      <c r="H118" s="1" t="str">
        <f t="shared" ca="1" si="35"/>
        <v xml:space="preserve">sellCase  </v>
      </c>
      <c r="I118" s="1" t="str">
        <f ca="1">IF(C118&lt;2,"this",IF(C118=C117,I117,IF(C118&gt;C117,H117, LOOKUP(1,0/(H$2:H117=I117),I$2:I118))))</f>
        <v>this</v>
      </c>
      <c r="J118" s="1" t="str">
        <f t="shared" si="18"/>
        <v>createCase</v>
      </c>
      <c r="K118" s="1" t="str">
        <f t="shared" si="37"/>
        <v xml:space="preserve">sellCase  </v>
      </c>
      <c r="L118" s="1"/>
      <c r="M118" s="1"/>
      <c r="N118" s="1"/>
      <c r="O118" s="1"/>
      <c r="P118" s="14" t="str">
        <f t="shared" ca="1" si="19"/>
        <v>MCCase * sellCase  ;</v>
      </c>
      <c r="Q118" s="14" t="str">
        <f t="shared" ca="1" si="20"/>
        <v>sellCase  = this-&gt;createCase("sellCase  ");</v>
      </c>
    </row>
    <row r="119" spans="1:17" x14ac:dyDescent="0.25">
      <c r="A119" s="6"/>
      <c r="B119" s="3" t="s">
        <v>264</v>
      </c>
      <c r="C119" s="1">
        <f t="shared" ca="1" si="21"/>
        <v>1</v>
      </c>
      <c r="D119" s="1" t="s">
        <v>271</v>
      </c>
      <c r="E119" s="1" t="s">
        <v>633</v>
      </c>
      <c r="F119" s="1" t="s">
        <v>633</v>
      </c>
      <c r="G119" s="1" t="s">
        <v>682</v>
      </c>
      <c r="H119" s="1" t="str">
        <f t="shared" ca="1" si="35"/>
        <v xml:space="preserve">stoneCase     </v>
      </c>
      <c r="I119" s="1" t="str">
        <f ca="1">IF(C119&lt;2,"this",IF(C119=C118,I118,IF(C119&gt;C118,H118, LOOKUP(1,0/(H$2:H118=I118),I$2:I119))))</f>
        <v>this</v>
      </c>
      <c r="J119" s="1" t="str">
        <f t="shared" si="18"/>
        <v>createCase</v>
      </c>
      <c r="K119" s="1" t="str">
        <f t="shared" si="37"/>
        <v xml:space="preserve">stoneCase     </v>
      </c>
      <c r="L119" s="1"/>
      <c r="M119" s="1"/>
      <c r="N119" s="1"/>
      <c r="O119" s="1"/>
      <c r="P119" s="14" t="str">
        <f t="shared" ca="1" si="19"/>
        <v>MCCase * stoneCase     ;</v>
      </c>
      <c r="Q119" s="14" t="str">
        <f t="shared" ca="1" si="20"/>
        <v>stoneCase     = this-&gt;createCase("stoneCase     ");</v>
      </c>
    </row>
    <row r="120" spans="1:17" x14ac:dyDescent="0.25">
      <c r="A120" s="6"/>
      <c r="B120" s="1" t="s">
        <v>639</v>
      </c>
      <c r="C120" s="1">
        <f ca="1">indent(B120)</f>
        <v>0</v>
      </c>
      <c r="D120" s="1" t="s">
        <v>271</v>
      </c>
      <c r="E120" s="1" t="s">
        <v>633</v>
      </c>
      <c r="F120" s="1" t="s">
        <v>633</v>
      </c>
      <c r="G120" s="21" t="s">
        <v>595</v>
      </c>
      <c r="H120" s="1" t="str">
        <f ca="1">IF(OR(I120="this",LEN(I120)&lt;2),B120,CONCATENATE(I120, UPPER(LEFT(B120,1)) &amp; RIGHT(B120,LEN(B120)-1) ))</f>
        <v>Hint_mc</v>
      </c>
      <c r="I120" s="1" t="str">
        <f ca="1">IF(C120&lt;2,"this",IF(C120=C119,I119,IF(C120&gt;C119,H119, LOOKUP(1,0/(H$2:H119=I119),I$2:I120))))</f>
        <v>this</v>
      </c>
      <c r="J120" s="1" t="str">
        <f t="shared" si="18"/>
        <v>createMovieClip</v>
      </c>
      <c r="K120" s="1" t="str">
        <f>B120</f>
        <v>Hint_mc</v>
      </c>
      <c r="L120" s="1"/>
      <c r="M120" s="1"/>
      <c r="N120" s="1"/>
      <c r="O120" s="1"/>
      <c r="P120" s="14" t="str">
        <f t="shared" ca="1" si="19"/>
        <v/>
      </c>
      <c r="Q120" s="14" t="str">
        <f t="shared" ca="1" si="20"/>
        <v>Hint_mc::Hint_mc:MovieClip("worldinterface","Hint_mc","Hint_mc"{)</v>
      </c>
    </row>
    <row r="121" spans="1:17" x14ac:dyDescent="0.25">
      <c r="A121" s="6"/>
      <c r="B121" s="3" t="s">
        <v>108</v>
      </c>
      <c r="C121" s="1">
        <f ca="1">indent(B121)</f>
        <v>1</v>
      </c>
      <c r="D121" s="1" t="s">
        <v>271</v>
      </c>
      <c r="E121" s="1" t="s">
        <v>633</v>
      </c>
      <c r="F121" s="1" t="s">
        <v>633</v>
      </c>
      <c r="G121" s="1" t="s">
        <v>684</v>
      </c>
      <c r="H121" s="1" t="str">
        <f ca="1">IF(OR(I121="this",LEN(I121)&lt;2),B121,CONCATENATE(I121, UPPER(LEFT(B121,1)) &amp; RIGHT(B121,LEN(B121)-1) ))</f>
        <v>nameTXT</v>
      </c>
      <c r="I121" s="1" t="str">
        <f ca="1">IF(C121&lt;2,"this",IF(C121=C120,I120,IF(C121&gt;C120,H120, LOOKUP(1,0/(H$2:H120=I120),I$2:I121))))</f>
        <v>this</v>
      </c>
      <c r="J121" s="1" t="str">
        <f t="shared" si="18"/>
        <v>createText</v>
      </c>
      <c r="K121" s="1" t="str">
        <f>B121</f>
        <v>nameTXT</v>
      </c>
      <c r="L121" s="1"/>
      <c r="M121" s="1"/>
      <c r="N121" s="1"/>
      <c r="O121" s="1"/>
      <c r="P121" s="14" t="str">
        <f t="shared" ca="1" si="19"/>
        <v>MCText * nameTXT;</v>
      </c>
      <c r="Q121" s="14" t="str">
        <f t="shared" ca="1" si="20"/>
        <v>nameTXT= this-&gt;createText("nameTXT");</v>
      </c>
    </row>
    <row r="122" spans="1:17" x14ac:dyDescent="0.25">
      <c r="A122" s="6"/>
      <c r="B122" s="3" t="s">
        <v>162</v>
      </c>
      <c r="C122" s="1">
        <f ca="1">indent(B122)</f>
        <v>1</v>
      </c>
      <c r="D122" s="1" t="s">
        <v>271</v>
      </c>
      <c r="E122" s="1" t="s">
        <v>633</v>
      </c>
      <c r="F122" s="1" t="s">
        <v>633</v>
      </c>
      <c r="G122" s="1" t="s">
        <v>684</v>
      </c>
      <c r="H122" s="1" t="str">
        <f ca="1">IF(OR(I122="this",LEN(I122)&lt;2),B122,CONCATENATE(I122, UPPER(LEFT(B122,1)) &amp; RIGHT(B122,LEN(B122)-1) ))</f>
        <v>noteTXT</v>
      </c>
      <c r="I122" s="1" t="str">
        <f ca="1">IF(C122&lt;2,"this",IF(C122=C121,I121,IF(C122&gt;C121,H121, LOOKUP(1,0/(H$2:H121=I121),I$2:I122))))</f>
        <v>this</v>
      </c>
      <c r="J122" s="1" t="str">
        <f t="shared" si="18"/>
        <v>createText</v>
      </c>
      <c r="K122" s="1" t="str">
        <f>B122</f>
        <v>noteTXT</v>
      </c>
      <c r="L122" s="1"/>
      <c r="M122" s="1"/>
      <c r="N122" s="1"/>
      <c r="O122" s="1"/>
      <c r="P122" s="14" t="str">
        <f t="shared" ca="1" si="19"/>
        <v>MCText * noteTXT;</v>
      </c>
      <c r="Q122" s="14" t="str">
        <f t="shared" ca="1" si="20"/>
        <v>noteTXT= this-&gt;createText("noteTXT");</v>
      </c>
    </row>
    <row r="123" spans="1:17" x14ac:dyDescent="0.25">
      <c r="A123" s="6"/>
      <c r="B123" s="3" t="s">
        <v>288</v>
      </c>
      <c r="C123" s="1">
        <f ca="1">indent(B123)</f>
        <v>1</v>
      </c>
      <c r="D123" s="1" t="s">
        <v>271</v>
      </c>
      <c r="E123" s="1" t="s">
        <v>633</v>
      </c>
      <c r="F123" s="1" t="s">
        <v>633</v>
      </c>
      <c r="G123" s="1" t="s">
        <v>684</v>
      </c>
      <c r="H123" s="1" t="str">
        <f ca="1">IF(OR(I123="this",LEN(I123)&lt;2),B123,CONCATENATE(I123, UPPER(LEFT(B123,1)) &amp; RIGHT(B123,LEN(B123)-1) ))</f>
        <v>timeTXT</v>
      </c>
      <c r="I123" s="1" t="str">
        <f ca="1">IF(C123&lt;2,"this",IF(C123=C122,I122,IF(C123&gt;C122,H122, LOOKUP(1,0/(H$2:H122=I122),I$2:I123))))</f>
        <v>this</v>
      </c>
      <c r="J123" s="1" t="str">
        <f t="shared" si="18"/>
        <v>createText</v>
      </c>
      <c r="K123" s="1" t="str">
        <f>B123</f>
        <v>timeTXT</v>
      </c>
      <c r="L123" s="1"/>
      <c r="M123" s="1"/>
      <c r="N123" s="1"/>
      <c r="O123" s="1"/>
      <c r="P123" s="14" t="str">
        <f t="shared" ca="1" si="19"/>
        <v>MCText * timeTXT;</v>
      </c>
      <c r="Q123" s="14" t="str">
        <f t="shared" ca="1" si="20"/>
        <v>timeTXT= this-&gt;createText("timeTXT");</v>
      </c>
    </row>
    <row r="124" spans="1:17" s="22" customFormat="1" x14ac:dyDescent="0.25">
      <c r="A124" s="26" t="s">
        <v>400</v>
      </c>
      <c r="B124" s="23" t="s">
        <v>399</v>
      </c>
      <c r="C124" s="1">
        <f t="shared" ca="1" si="21"/>
        <v>0</v>
      </c>
      <c r="D124" s="21" t="s">
        <v>271</v>
      </c>
      <c r="E124" s="21" t="s">
        <v>633</v>
      </c>
      <c r="F124" s="21" t="s">
        <v>633</v>
      </c>
      <c r="G124" s="21" t="s">
        <v>595</v>
      </c>
      <c r="H124" s="21"/>
      <c r="I124" s="1" t="str">
        <f ca="1">IF(C124&lt;2,"this",IF(C124=C123,I123,IF(C124&gt;C123,H123, LOOKUP(1,0/(H$2:H123=I123),I$2:I124))))</f>
        <v>this</v>
      </c>
      <c r="J124" s="1" t="str">
        <f t="shared" si="18"/>
        <v>createMovieClip</v>
      </c>
      <c r="K124" s="21" t="str">
        <f t="shared" ref="K124:K155" si="38">B124</f>
        <v>WorldInterface_mc</v>
      </c>
      <c r="L124" s="21"/>
      <c r="M124" s="21"/>
      <c r="N124" s="21"/>
      <c r="O124" s="21"/>
      <c r="P124" s="14" t="str">
        <f t="shared" ca="1" si="19"/>
        <v/>
      </c>
      <c r="Q124" s="14" t="str">
        <f t="shared" ca="1" si="20"/>
        <v>WorldInterface_mc::WorldInterface_mc:MovieClip("worldinterface","WorldInterface_mc","WorldInterface_mc"{)</v>
      </c>
    </row>
    <row r="125" spans="1:17" x14ac:dyDescent="0.25">
      <c r="A125" s="6"/>
      <c r="B125" s="3" t="s">
        <v>592</v>
      </c>
      <c r="C125" s="1">
        <f t="shared" ca="1" si="21"/>
        <v>1</v>
      </c>
      <c r="D125" s="1" t="s">
        <v>271</v>
      </c>
      <c r="E125" s="21" t="s">
        <v>633</v>
      </c>
      <c r="F125" s="21" t="s">
        <v>633</v>
      </c>
      <c r="G125" s="1" t="s">
        <v>594</v>
      </c>
      <c r="H125" s="1" t="str">
        <f t="shared" ref="H125:H156" ca="1" si="39">IF(OR(I125="this",LEN(I125)&lt;2),B125,CONCATENATE(I125, UPPER(LEFT(B125,1)) &amp; RIGHT(B125,LEN(B125)-1) ))</f>
        <v>backComponents</v>
      </c>
      <c r="I125" s="1" t="str">
        <f ca="1">IF(C125&lt;2,"this",IF(C125=C124,I124,IF(C125&gt;C124,H124, LOOKUP(1,0/(H$2:H124=I124),I$2:I125))))</f>
        <v>this</v>
      </c>
      <c r="J125" s="1" t="str">
        <f t="shared" si="18"/>
        <v>createMovieClipSub</v>
      </c>
      <c r="K125" s="1" t="str">
        <f t="shared" si="38"/>
        <v>backComponents</v>
      </c>
      <c r="L125" s="1"/>
      <c r="M125" s="1"/>
      <c r="N125" s="1"/>
      <c r="O125" s="1"/>
      <c r="P125" s="14" t="str">
        <f t="shared" ca="1" si="19"/>
        <v>MovieClipSub * backComponents;</v>
      </c>
      <c r="Q125" s="14" t="str">
        <f t="shared" ca="1" si="20"/>
        <v>backComponents= this-&gt;createMovieClipSub("backComponents");</v>
      </c>
    </row>
    <row r="126" spans="1:17" x14ac:dyDescent="0.25">
      <c r="A126" s="6"/>
      <c r="B126" s="3" t="s">
        <v>596</v>
      </c>
      <c r="C126" s="1">
        <f t="shared" ca="1" si="21"/>
        <v>1</v>
      </c>
      <c r="D126" s="1" t="s">
        <v>271</v>
      </c>
      <c r="E126" s="21" t="s">
        <v>633</v>
      </c>
      <c r="F126" s="21" t="s">
        <v>633</v>
      </c>
      <c r="G126" s="1" t="s">
        <v>594</v>
      </c>
      <c r="H126" s="1" t="str">
        <f t="shared" ca="1" si="39"/>
        <v>barInfo</v>
      </c>
      <c r="I126" s="1" t="str">
        <f ca="1">IF(C126&lt;2,"this",IF(C126=C125,I125,IF(C126&gt;C125,H125, LOOKUP(1,0/(H$2:H125=I125),I$2:I126))))</f>
        <v>this</v>
      </c>
      <c r="J126" s="1" t="str">
        <f t="shared" si="18"/>
        <v>createMovieClipSub</v>
      </c>
      <c r="K126" s="1" t="str">
        <f t="shared" si="38"/>
        <v>barInfo</v>
      </c>
      <c r="L126" s="1"/>
      <c r="M126" s="1"/>
      <c r="N126" s="1"/>
      <c r="O126" s="1"/>
      <c r="P126" s="14" t="str">
        <f t="shared" ca="1" si="19"/>
        <v>MovieClipSub * barInfo;</v>
      </c>
      <c r="Q126" s="14" t="str">
        <f t="shared" ca="1" si="20"/>
        <v>barInfo= this-&gt;createMovieClipSub("barInfo");</v>
      </c>
    </row>
    <row r="127" spans="1:17" x14ac:dyDescent="0.25">
      <c r="A127" s="6"/>
      <c r="B127" s="4" t="s">
        <v>401</v>
      </c>
      <c r="C127" s="1">
        <f t="shared" ca="1" si="21"/>
        <v>2</v>
      </c>
      <c r="D127" s="1" t="s">
        <v>271</v>
      </c>
      <c r="E127" s="21" t="s">
        <v>633</v>
      </c>
      <c r="F127" s="21" t="s">
        <v>633</v>
      </c>
      <c r="G127" s="1" t="s">
        <v>684</v>
      </c>
      <c r="H127" s="1" t="str">
        <f t="shared" ca="1" si="39"/>
        <v>barInfoFireTXT</v>
      </c>
      <c r="I127" s="1" t="str">
        <f ca="1">IF(C127&lt;2,"this",IF(C127=C126,I126,IF(C127&gt;C126,H126, LOOKUP(1,0/(H$2:H126=I126),I$2:I127))))</f>
        <v>barInfo</v>
      </c>
      <c r="J127" s="1" t="str">
        <f t="shared" si="18"/>
        <v>createText</v>
      </c>
      <c r="K127" s="1" t="str">
        <f t="shared" si="38"/>
        <v>fireTXT</v>
      </c>
      <c r="L127" s="1"/>
      <c r="M127" s="1"/>
      <c r="N127" s="1"/>
      <c r="O127" s="1"/>
      <c r="P127" s="14" t="str">
        <f t="shared" ca="1" si="19"/>
        <v>MCText * barInfoFireTXT;</v>
      </c>
      <c r="Q127" s="14" t="str">
        <f t="shared" ca="1" si="20"/>
        <v>barInfoFireTXT= barInfo-&gt;createText("fireTXT");</v>
      </c>
    </row>
    <row r="128" spans="1:17" x14ac:dyDescent="0.25">
      <c r="A128" s="6"/>
      <c r="B128" s="4" t="s">
        <v>402</v>
      </c>
      <c r="C128" s="1">
        <f t="shared" ca="1" si="21"/>
        <v>2</v>
      </c>
      <c r="D128" s="1" t="s">
        <v>271</v>
      </c>
      <c r="E128" s="21" t="s">
        <v>633</v>
      </c>
      <c r="F128" s="21" t="s">
        <v>633</v>
      </c>
      <c r="G128" s="1" t="s">
        <v>684</v>
      </c>
      <c r="H128" s="1" t="str">
        <f t="shared" ca="1" si="39"/>
        <v>barInfoHealthTXT</v>
      </c>
      <c r="I128" s="1" t="str">
        <f ca="1">IF(C128&lt;2,"this",IF(C128=C127,I127,IF(C128&gt;C127,H127, LOOKUP(1,0/(H$2:H127=I127),I$2:I128))))</f>
        <v>barInfo</v>
      </c>
      <c r="J128" s="1" t="str">
        <f t="shared" si="18"/>
        <v>createText</v>
      </c>
      <c r="K128" s="1" t="str">
        <f t="shared" si="38"/>
        <v>healthTXT</v>
      </c>
      <c r="L128" s="1"/>
      <c r="M128" s="1"/>
      <c r="N128" s="1"/>
      <c r="O128" s="1"/>
      <c r="P128" s="14" t="str">
        <f t="shared" ca="1" si="19"/>
        <v>MCText * barInfoHealthTXT;</v>
      </c>
      <c r="Q128" s="14" t="str">
        <f t="shared" ca="1" si="20"/>
        <v>barInfoHealthTXT= barInfo-&gt;createText("healthTXT");</v>
      </c>
    </row>
    <row r="129" spans="1:17" x14ac:dyDescent="0.25">
      <c r="A129" s="6"/>
      <c r="B129" s="4" t="s">
        <v>403</v>
      </c>
      <c r="C129" s="1">
        <f t="shared" ca="1" si="21"/>
        <v>2</v>
      </c>
      <c r="D129" s="1" t="s">
        <v>271</v>
      </c>
      <c r="E129" s="21" t="s">
        <v>633</v>
      </c>
      <c r="F129" s="21" t="s">
        <v>633</v>
      </c>
      <c r="G129" s="1" t="s">
        <v>684</v>
      </c>
      <c r="H129" s="1" t="str">
        <f t="shared" ca="1" si="39"/>
        <v>barInfoIceTXT</v>
      </c>
      <c r="I129" s="1" t="str">
        <f ca="1">IF(C129&lt;2,"this",IF(C129=C128,I128,IF(C129&gt;C128,H128, LOOKUP(1,0/(H$2:H128=I128),I$2:I129))))</f>
        <v>barInfo</v>
      </c>
      <c r="J129" s="1" t="str">
        <f t="shared" si="18"/>
        <v>createText</v>
      </c>
      <c r="K129" s="1" t="str">
        <f t="shared" si="38"/>
        <v>iceTXT</v>
      </c>
      <c r="L129" s="1"/>
      <c r="M129" s="1"/>
      <c r="N129" s="1"/>
      <c r="O129" s="1"/>
      <c r="P129" s="14" t="str">
        <f t="shared" ca="1" si="19"/>
        <v>MCText * barInfoIceTXT;</v>
      </c>
      <c r="Q129" s="14" t="str">
        <f t="shared" ca="1" si="20"/>
        <v>barInfoIceTXT= barInfo-&gt;createText("iceTXT");</v>
      </c>
    </row>
    <row r="130" spans="1:17" x14ac:dyDescent="0.25">
      <c r="A130" s="6"/>
      <c r="B130" s="4" t="s">
        <v>404</v>
      </c>
      <c r="C130" s="1">
        <f t="shared" ca="1" si="21"/>
        <v>2</v>
      </c>
      <c r="D130" s="1" t="s">
        <v>271</v>
      </c>
      <c r="E130" s="21" t="s">
        <v>633</v>
      </c>
      <c r="F130" s="21" t="s">
        <v>633</v>
      </c>
      <c r="G130" s="1" t="s">
        <v>684</v>
      </c>
      <c r="H130" s="1" t="str">
        <f t="shared" ca="1" si="39"/>
        <v>barInfoLevinTXT</v>
      </c>
      <c r="I130" s="1" t="str">
        <f ca="1">IF(C130&lt;2,"this",IF(C130=C129,I129,IF(C130&gt;C129,H129, LOOKUP(1,0/(H$2:H129=I129),I$2:I130))))</f>
        <v>barInfo</v>
      </c>
      <c r="J130" s="1" t="str">
        <f t="shared" si="18"/>
        <v>createText</v>
      </c>
      <c r="K130" s="1" t="str">
        <f t="shared" si="38"/>
        <v>levinTXT</v>
      </c>
      <c r="L130" s="1"/>
      <c r="M130" s="1"/>
      <c r="N130" s="1"/>
      <c r="O130" s="1"/>
      <c r="P130" s="14" t="str">
        <f t="shared" ca="1" si="19"/>
        <v>MCText * barInfoLevinTXT;</v>
      </c>
      <c r="Q130" s="14" t="str">
        <f t="shared" ca="1" si="20"/>
        <v>barInfoLevinTXT= barInfo-&gt;createText("levinTXT");</v>
      </c>
    </row>
    <row r="131" spans="1:17" s="10" customFormat="1" x14ac:dyDescent="0.25">
      <c r="A131" s="27"/>
      <c r="B131" s="16" t="s">
        <v>405</v>
      </c>
      <c r="C131" s="1">
        <f t="shared" ca="1" si="21"/>
        <v>2</v>
      </c>
      <c r="D131" s="1" t="s">
        <v>271</v>
      </c>
      <c r="E131" s="21" t="s">
        <v>633</v>
      </c>
      <c r="F131" s="21" t="s">
        <v>633</v>
      </c>
      <c r="G131" s="8" t="s">
        <v>682</v>
      </c>
      <c r="H131" s="1" t="str">
        <f t="shared" ca="1" si="39"/>
        <v>barInfoMyTarget</v>
      </c>
      <c r="I131" s="1" t="str">
        <f ca="1">IF(C131&lt;2,"this",IF(C131=C130,I130,IF(C131&gt;C130,H130, LOOKUP(1,0/(H$2:H130=I130),I$2:I131))))</f>
        <v>barInfo</v>
      </c>
      <c r="J131" s="1" t="str">
        <f t="shared" si="18"/>
        <v>createCase</v>
      </c>
      <c r="K131" s="1" t="str">
        <f t="shared" si="38"/>
        <v>myTarget</v>
      </c>
      <c r="L131" s="8"/>
      <c r="M131" s="8"/>
      <c r="N131" s="8"/>
      <c r="O131" s="8"/>
      <c r="P131" s="14" t="str">
        <f t="shared" ca="1" si="19"/>
        <v>MCCase * barInfoMyTarget;</v>
      </c>
      <c r="Q131" s="14" t="str">
        <f t="shared" ca="1" si="20"/>
        <v>barInfoMyTarget= barInfo-&gt;createCase("myTarget");</v>
      </c>
    </row>
    <row r="132" spans="1:17" x14ac:dyDescent="0.25">
      <c r="A132" s="6"/>
      <c r="B132" s="4" t="s">
        <v>162</v>
      </c>
      <c r="C132" s="1">
        <f t="shared" ca="1" si="21"/>
        <v>2</v>
      </c>
      <c r="D132" s="1" t="s">
        <v>271</v>
      </c>
      <c r="E132" s="21" t="s">
        <v>633</v>
      </c>
      <c r="F132" s="21" t="s">
        <v>633</v>
      </c>
      <c r="G132" s="1" t="s">
        <v>684</v>
      </c>
      <c r="H132" s="1" t="str">
        <f t="shared" ca="1" si="39"/>
        <v>barInfoNoteTXT</v>
      </c>
      <c r="I132" s="1" t="str">
        <f ca="1">IF(C132&lt;2,"this",IF(C132=C131,I131,IF(C132&gt;C131,H131, LOOKUP(1,0/(H$2:H131=I131),I$2:I132))))</f>
        <v>barInfo</v>
      </c>
      <c r="J132" s="1" t="str">
        <f t="shared" si="18"/>
        <v>createText</v>
      </c>
      <c r="K132" s="1" t="str">
        <f t="shared" si="38"/>
        <v>noteTXT</v>
      </c>
      <c r="L132" s="1"/>
      <c r="M132" s="1"/>
      <c r="N132" s="1"/>
      <c r="O132" s="1"/>
      <c r="P132" s="14" t="str">
        <f t="shared" ca="1" si="19"/>
        <v>MCText * barInfoNoteTXT;</v>
      </c>
      <c r="Q132" s="14" t="str">
        <f t="shared" ca="1" si="20"/>
        <v>barInfoNoteTXT= barInfo-&gt;createText("noteTXT");</v>
      </c>
    </row>
    <row r="133" spans="1:17" x14ac:dyDescent="0.25">
      <c r="A133" s="6"/>
      <c r="B133" s="4" t="s">
        <v>406</v>
      </c>
      <c r="C133" s="1">
        <f t="shared" ca="1" si="21"/>
        <v>2</v>
      </c>
      <c r="D133" s="1" t="s">
        <v>271</v>
      </c>
      <c r="E133" s="21" t="s">
        <v>633</v>
      </c>
      <c r="F133" s="21" t="s">
        <v>633</v>
      </c>
      <c r="G133" s="1" t="s">
        <v>684</v>
      </c>
      <c r="H133" s="1" t="str">
        <f t="shared" ca="1" si="39"/>
        <v>barInfoPenaltyTXT</v>
      </c>
      <c r="I133" s="1" t="str">
        <f ca="1">IF(C133&lt;2,"this",IF(C133=C132,I132,IF(C133&gt;C132,H132, LOOKUP(1,0/(H$2:H132=I132),I$2:I133))))</f>
        <v>barInfo</v>
      </c>
      <c r="J133" s="1" t="str">
        <f t="shared" ref="J133:J196" si="40">CONCATENATE("create",IF(LEFT(G133,2)="MC",MID(G133,3,LEN(G133)),G133))</f>
        <v>createText</v>
      </c>
      <c r="K133" s="1" t="str">
        <f t="shared" si="38"/>
        <v>penaltyTXT</v>
      </c>
      <c r="L133" s="1"/>
      <c r="M133" s="1"/>
      <c r="N133" s="1"/>
      <c r="O133" s="1"/>
      <c r="P133" s="14" t="str">
        <f t="shared" ca="1" si="19"/>
        <v>MCText * barInfoPenaltyTXT;</v>
      </c>
      <c r="Q133" s="14" t="str">
        <f t="shared" ca="1" si="20"/>
        <v>barInfoPenaltyTXT= barInfo-&gt;createText("penaltyTXT");</v>
      </c>
    </row>
    <row r="134" spans="1:17" x14ac:dyDescent="0.25">
      <c r="A134" s="6"/>
      <c r="B134" s="4" t="s">
        <v>407</v>
      </c>
      <c r="C134" s="1">
        <f t="shared" ca="1" si="21"/>
        <v>2</v>
      </c>
      <c r="D134" s="1" t="s">
        <v>271</v>
      </c>
      <c r="E134" s="21" t="s">
        <v>633</v>
      </c>
      <c r="F134" s="21" t="s">
        <v>633</v>
      </c>
      <c r="G134" s="1" t="s">
        <v>684</v>
      </c>
      <c r="H134" s="1" t="str">
        <f t="shared" ca="1" si="39"/>
        <v>barInfoSpeedTXT</v>
      </c>
      <c r="I134" s="1" t="str">
        <f ca="1">IF(C134&lt;2,"this",IF(C134=C133,I133,IF(C134&gt;C133,H133, LOOKUP(1,0/(H$2:H133=I133),I$2:I134))))</f>
        <v>barInfo</v>
      </c>
      <c r="J134" s="1" t="str">
        <f t="shared" si="40"/>
        <v>createText</v>
      </c>
      <c r="K134" s="1" t="str">
        <f t="shared" si="38"/>
        <v>speedTXT</v>
      </c>
      <c r="L134" s="1"/>
      <c r="M134" s="1"/>
      <c r="N134" s="1"/>
      <c r="O134" s="1"/>
      <c r="P134" s="14" t="str">
        <f t="shared" ca="1" si="19"/>
        <v>MCText * barInfoSpeedTXT;</v>
      </c>
      <c r="Q134" s="14" t="str">
        <f t="shared" ca="1" si="20"/>
        <v>barInfoSpeedTXT= barInfo-&gt;createText("speedTXT");</v>
      </c>
    </row>
    <row r="135" spans="1:17" x14ac:dyDescent="0.25">
      <c r="A135" s="6"/>
      <c r="B135" s="4" t="s">
        <v>408</v>
      </c>
      <c r="C135" s="1">
        <f t="shared" ca="1" si="21"/>
        <v>2</v>
      </c>
      <c r="D135" s="1" t="s">
        <v>271</v>
      </c>
      <c r="E135" s="21" t="s">
        <v>633</v>
      </c>
      <c r="F135" s="21" t="s">
        <v>633</v>
      </c>
      <c r="G135" s="1" t="s">
        <v>684</v>
      </c>
      <c r="H135" s="1" t="str">
        <f t="shared" ca="1" si="39"/>
        <v>barInfoStoneTXT</v>
      </c>
      <c r="I135" s="1" t="str">
        <f ca="1">IF(C135&lt;2,"this",IF(C135=C134,I134,IF(C135&gt;C134,H134, LOOKUP(1,0/(H$2:H134=I134),I$2:I135))))</f>
        <v>barInfo</v>
      </c>
      <c r="J135" s="1" t="str">
        <f t="shared" si="40"/>
        <v>createText</v>
      </c>
      <c r="K135" s="1" t="str">
        <f t="shared" si="38"/>
        <v>stoneTXT</v>
      </c>
      <c r="L135" s="1"/>
      <c r="M135" s="1"/>
      <c r="N135" s="1"/>
      <c r="O135" s="1"/>
      <c r="P135" s="14" t="str">
        <f t="shared" ca="1" si="19"/>
        <v>MCText * barInfoStoneTXT;</v>
      </c>
      <c r="Q135" s="14" t="str">
        <f t="shared" ca="1" si="20"/>
        <v>barInfoStoneTXT= barInfo-&gt;createText("stoneTXT");</v>
      </c>
    </row>
    <row r="136" spans="1:17" x14ac:dyDescent="0.25">
      <c r="A136" s="6"/>
      <c r="B136" s="3" t="s">
        <v>598</v>
      </c>
      <c r="C136" s="1">
        <f t="shared" ca="1" si="21"/>
        <v>1</v>
      </c>
      <c r="D136" s="1" t="s">
        <v>271</v>
      </c>
      <c r="E136" s="21" t="s">
        <v>633</v>
      </c>
      <c r="F136" s="21" t="s">
        <v>633</v>
      </c>
      <c r="G136" s="1" t="s">
        <v>594</v>
      </c>
      <c r="H136" s="1" t="str">
        <f t="shared" ca="1" si="39"/>
        <v>book</v>
      </c>
      <c r="I136" s="1" t="str">
        <f ca="1">IF(C136&lt;2,"this",IF(C136=C135,I135,IF(C136&gt;C135,H135, LOOKUP(1,0/(H$2:H135=I135),I$2:I136))))</f>
        <v>this</v>
      </c>
      <c r="J136" s="1" t="str">
        <f t="shared" si="40"/>
        <v>createMovieClipSub</v>
      </c>
      <c r="K136" s="1" t="str">
        <f t="shared" si="38"/>
        <v>book</v>
      </c>
      <c r="L136" s="1"/>
      <c r="M136" s="1"/>
      <c r="N136" s="1"/>
      <c r="O136" s="1"/>
      <c r="P136" s="14" t="str">
        <f t="shared" ca="1" si="19"/>
        <v>MovieClipSub * book;</v>
      </c>
      <c r="Q136" s="14" t="str">
        <f t="shared" ca="1" si="20"/>
        <v>book= this-&gt;createMovieClipSub("book");</v>
      </c>
    </row>
    <row r="137" spans="1:17" x14ac:dyDescent="0.25">
      <c r="A137" s="6"/>
      <c r="B137" s="4" t="s">
        <v>409</v>
      </c>
      <c r="C137" s="1">
        <f t="shared" ca="1" si="21"/>
        <v>2</v>
      </c>
      <c r="D137" s="1" t="s">
        <v>271</v>
      </c>
      <c r="E137" s="21" t="s">
        <v>633</v>
      </c>
      <c r="F137" s="21" t="s">
        <v>633</v>
      </c>
      <c r="G137" s="1" t="s">
        <v>682</v>
      </c>
      <c r="H137" s="1" t="str">
        <f t="shared" ca="1" si="39"/>
        <v>bookBookCase</v>
      </c>
      <c r="I137" s="1" t="str">
        <f ca="1">IF(C137&lt;2,"this",IF(C137=C136,I136,IF(C137&gt;C136,H136, LOOKUP(1,0/(H$2:H136=I136),I$2:I137))))</f>
        <v>book</v>
      </c>
      <c r="J137" s="1" t="str">
        <f t="shared" si="40"/>
        <v>createCase</v>
      </c>
      <c r="K137" s="1" t="str">
        <f t="shared" si="38"/>
        <v>bookCase</v>
      </c>
      <c r="L137" s="1"/>
      <c r="M137" s="1"/>
      <c r="N137" s="1"/>
      <c r="O137" s="1"/>
      <c r="P137" s="14" t="str">
        <f t="shared" ca="1" si="19"/>
        <v>MCCase * bookBookCase;</v>
      </c>
      <c r="Q137" s="14" t="str">
        <f t="shared" ca="1" si="20"/>
        <v>bookBookCase= book-&gt;createCase("bookCase");</v>
      </c>
    </row>
    <row r="138" spans="1:17" x14ac:dyDescent="0.25">
      <c r="A138" s="6"/>
      <c r="B138" s="3" t="s">
        <v>599</v>
      </c>
      <c r="C138" s="1">
        <f t="shared" ca="1" si="21"/>
        <v>1</v>
      </c>
      <c r="D138" s="1" t="s">
        <v>271</v>
      </c>
      <c r="E138" s="21" t="s">
        <v>633</v>
      </c>
      <c r="F138" s="21" t="s">
        <v>633</v>
      </c>
      <c r="G138" s="1" t="s">
        <v>594</v>
      </c>
      <c r="H138" s="1" t="str">
        <f t="shared" ca="1" si="39"/>
        <v>butCastAir</v>
      </c>
      <c r="I138" s="1" t="str">
        <f ca="1">IF(C138&lt;2,"this",IF(C138=C137,I137,IF(C138&gt;C137,H137, LOOKUP(1,0/(H$2:H137=I137),I$2:I138))))</f>
        <v>this</v>
      </c>
      <c r="J138" s="1" t="str">
        <f t="shared" si="40"/>
        <v>createMovieClipSub</v>
      </c>
      <c r="K138" s="1" t="str">
        <f t="shared" si="38"/>
        <v>butCastAir</v>
      </c>
      <c r="L138" s="1"/>
      <c r="M138" s="1"/>
      <c r="N138" s="1"/>
      <c r="O138" s="1"/>
      <c r="P138" s="14" t="str">
        <f t="shared" ca="1" si="19"/>
        <v>MovieClipSub * butCastAir;</v>
      </c>
      <c r="Q138" s="14" t="str">
        <f t="shared" ca="1" si="20"/>
        <v>butCastAir= this-&gt;createMovieClipSub("butCastAir");</v>
      </c>
    </row>
    <row r="139" spans="1:17" x14ac:dyDescent="0.25">
      <c r="A139" s="6"/>
      <c r="B139" s="4" t="s">
        <v>772</v>
      </c>
      <c r="C139" s="1">
        <f t="shared" ca="1" si="21"/>
        <v>2</v>
      </c>
      <c r="D139" s="1" t="s">
        <v>271</v>
      </c>
      <c r="E139" s="21" t="s">
        <v>633</v>
      </c>
      <c r="F139" s="21" t="s">
        <v>633</v>
      </c>
      <c r="G139" s="1" t="s">
        <v>682</v>
      </c>
      <c r="H139" s="1" t="str">
        <f t="shared" ca="1" si="39"/>
        <v>butCastAirCastAirCase</v>
      </c>
      <c r="I139" s="1" t="str">
        <f ca="1">IF(C139&lt;2,"this",IF(C139=C138,I138,IF(C139&gt;C138,H138, LOOKUP(1,0/(H$2:H138=I138),I$2:I139))))</f>
        <v>butCastAir</v>
      </c>
      <c r="J139" s="1" t="str">
        <f t="shared" si="40"/>
        <v>createCase</v>
      </c>
      <c r="K139" s="1" t="str">
        <f t="shared" si="38"/>
        <v>castAirCase</v>
      </c>
      <c r="L139" s="1"/>
      <c r="M139" s="1"/>
      <c r="N139" s="1"/>
      <c r="O139" s="1"/>
      <c r="P139" s="14" t="str">
        <f t="shared" ca="1" si="19"/>
        <v>MCCase * butCastAirCastAirCase;</v>
      </c>
      <c r="Q139" s="14" t="str">
        <f t="shared" ca="1" si="20"/>
        <v>butCastAirCastAirCase= butCastAir-&gt;createCase("castAirCase");</v>
      </c>
    </row>
    <row r="140" spans="1:17" x14ac:dyDescent="0.25">
      <c r="A140" s="6"/>
      <c r="B140" s="4" t="s">
        <v>84</v>
      </c>
      <c r="C140" s="1">
        <f t="shared" ca="1" si="21"/>
        <v>2</v>
      </c>
      <c r="D140" s="1" t="s">
        <v>271</v>
      </c>
      <c r="E140" s="21" t="s">
        <v>633</v>
      </c>
      <c r="F140" s="21" t="s">
        <v>633</v>
      </c>
      <c r="G140" s="1" t="s">
        <v>594</v>
      </c>
      <c r="H140" s="1" t="str">
        <f t="shared" ca="1" si="39"/>
        <v>butCastAirCont</v>
      </c>
      <c r="I140" s="1" t="str">
        <f ca="1">IF(C140&lt;2,"this",IF(C140=C139,I139,IF(C140&gt;C139,H139, LOOKUP(1,0/(H$2:H139=I139),I$2:I140))))</f>
        <v>butCastAir</v>
      </c>
      <c r="J140" s="1" t="str">
        <f t="shared" si="40"/>
        <v>createMovieClipSub</v>
      </c>
      <c r="K140" s="1" t="str">
        <f t="shared" si="38"/>
        <v>cont</v>
      </c>
      <c r="L140" s="1"/>
      <c r="M140" s="1"/>
      <c r="N140" s="1"/>
      <c r="O140" s="1"/>
      <c r="P140" s="14" t="str">
        <f t="shared" ref="P140:P203" ca="1" si="41">IF(C140&gt;0,G140 &amp; " * "&amp;H140 &amp;";","")</f>
        <v>MovieClipSub * butCastAirCont;</v>
      </c>
      <c r="Q140" s="14" t="str">
        <f t="shared" ref="Q140:Q203" ca="1" si="42">IF(C140&gt;0,H140&amp;"= "&amp;I140&amp;"-&gt;"&amp;J140&amp;"("""&amp;K140&amp;""")"&amp;";",IF(RIGHT(B140,3)&lt;&gt;"_mc",G140&amp;"("""&amp;D140&amp;""","""&amp;B140&amp;""","""&amp;K140&amp;"""{)",B140&amp;"::"&amp;B140&amp;":"&amp;G140&amp;"("""&amp;D140&amp;""","""&amp;B140&amp;""","""&amp;K140&amp;"""{)"))</f>
        <v>butCastAirCont= butCastAir-&gt;createMovieClipSub("cont");</v>
      </c>
    </row>
    <row r="141" spans="1:17" x14ac:dyDescent="0.25">
      <c r="A141" s="6"/>
      <c r="B141" s="5" t="s">
        <v>438</v>
      </c>
      <c r="C141" s="1">
        <f t="shared" ca="1" si="21"/>
        <v>3</v>
      </c>
      <c r="D141" s="1" t="s">
        <v>271</v>
      </c>
      <c r="E141" s="21" t="s">
        <v>633</v>
      </c>
      <c r="F141" s="21" t="s">
        <v>633</v>
      </c>
      <c r="G141" s="1" t="s">
        <v>689</v>
      </c>
      <c r="H141" s="1" t="str">
        <f t="shared" ca="1" si="39"/>
        <v>butCastAirContContMask</v>
      </c>
      <c r="I141" s="1" t="str">
        <f ca="1">IF(C141&lt;2,"this",IF(C141=C140,I140,IF(C141&gt;C140,H140, LOOKUP(1,0/(H$2:H140=I140),I$2:I141))))</f>
        <v>butCastAirCont</v>
      </c>
      <c r="J141" s="1" t="str">
        <f t="shared" si="40"/>
        <v>createMask</v>
      </c>
      <c r="K141" s="1" t="str">
        <f t="shared" si="38"/>
        <v>contMask</v>
      </c>
      <c r="L141" s="1"/>
      <c r="M141" s="1"/>
      <c r="N141" s="1"/>
      <c r="O141" s="1"/>
      <c r="P141" s="14" t="str">
        <f t="shared" ca="1" si="41"/>
        <v>MCMask * butCastAirContContMask;</v>
      </c>
      <c r="Q141" s="14" t="str">
        <f t="shared" ca="1" si="42"/>
        <v>butCastAirContContMask= butCastAirCont-&gt;createMask("contMask");</v>
      </c>
    </row>
    <row r="142" spans="1:17" x14ac:dyDescent="0.25">
      <c r="A142" s="6"/>
      <c r="B142" s="3" t="s">
        <v>410</v>
      </c>
      <c r="C142" s="1">
        <f t="shared" ca="1" si="21"/>
        <v>1</v>
      </c>
      <c r="D142" s="1" t="s">
        <v>271</v>
      </c>
      <c r="E142" s="21" t="s">
        <v>633</v>
      </c>
      <c r="F142" s="21" t="s">
        <v>633</v>
      </c>
      <c r="G142" s="1" t="s">
        <v>594</v>
      </c>
      <c r="H142" s="1" t="str">
        <f t="shared" ca="1" si="39"/>
        <v>butCastGolem</v>
      </c>
      <c r="I142" s="1" t="str">
        <f ca="1">IF(C142&lt;2,"this",IF(C142=C141,I141,IF(C142&gt;C141,H141, LOOKUP(1,0/(H$2:H141=I141),I$2:I142))))</f>
        <v>this</v>
      </c>
      <c r="J142" s="1" t="str">
        <f t="shared" si="40"/>
        <v>createMovieClipSub</v>
      </c>
      <c r="K142" s="1" t="str">
        <f t="shared" si="38"/>
        <v>butCastGolem</v>
      </c>
      <c r="L142" s="1"/>
      <c r="M142" s="1"/>
      <c r="N142" s="1"/>
      <c r="O142" s="1"/>
      <c r="P142" s="14" t="str">
        <f t="shared" ca="1" si="41"/>
        <v>MovieClipSub * butCastGolem;</v>
      </c>
      <c r="Q142" s="14" t="str">
        <f t="shared" ca="1" si="42"/>
        <v>butCastGolem= this-&gt;createMovieClipSub("butCastGolem");</v>
      </c>
    </row>
    <row r="143" spans="1:17" x14ac:dyDescent="0.25">
      <c r="A143" s="6"/>
      <c r="B143" s="4" t="s">
        <v>773</v>
      </c>
      <c r="C143" s="1">
        <f t="shared" ca="1" si="21"/>
        <v>2</v>
      </c>
      <c r="D143" s="1" t="s">
        <v>271</v>
      </c>
      <c r="E143" s="21" t="s">
        <v>633</v>
      </c>
      <c r="F143" s="21" t="s">
        <v>633</v>
      </c>
      <c r="G143" s="1" t="s">
        <v>682</v>
      </c>
      <c r="H143" s="1" t="str">
        <f t="shared" ca="1" si="39"/>
        <v>butCastGolemCastGolemCase</v>
      </c>
      <c r="I143" s="1" t="str">
        <f ca="1">IF(C143&lt;2,"this",IF(C143=C142,I142,IF(C143&gt;C142,H142, LOOKUP(1,0/(H$2:H142=I142),I$2:I143))))</f>
        <v>butCastGolem</v>
      </c>
      <c r="J143" s="1" t="str">
        <f t="shared" si="40"/>
        <v>createCase</v>
      </c>
      <c r="K143" s="1" t="str">
        <f t="shared" si="38"/>
        <v>castGolemCase</v>
      </c>
      <c r="L143" s="1"/>
      <c r="M143" s="1"/>
      <c r="N143" s="1"/>
      <c r="O143" s="1"/>
      <c r="P143" s="14" t="str">
        <f t="shared" ca="1" si="41"/>
        <v>MCCase * butCastGolemCastGolemCase;</v>
      </c>
      <c r="Q143" s="14" t="str">
        <f t="shared" ca="1" si="42"/>
        <v>butCastGolemCastGolemCase= butCastGolem-&gt;createCase("castGolemCase");</v>
      </c>
    </row>
    <row r="144" spans="1:17" x14ac:dyDescent="0.25">
      <c r="A144" s="6"/>
      <c r="B144" s="4" t="s">
        <v>84</v>
      </c>
      <c r="C144" s="1">
        <f t="shared" ca="1" si="21"/>
        <v>2</v>
      </c>
      <c r="D144" s="1" t="s">
        <v>271</v>
      </c>
      <c r="E144" s="21" t="s">
        <v>633</v>
      </c>
      <c r="F144" s="21" t="s">
        <v>633</v>
      </c>
      <c r="G144" s="1" t="s">
        <v>594</v>
      </c>
      <c r="H144" s="1" t="str">
        <f t="shared" ca="1" si="39"/>
        <v>butCastGolemCont</v>
      </c>
      <c r="I144" s="1" t="str">
        <f ca="1">IF(C144&lt;2,"this",IF(C144=C143,I143,IF(C144&gt;C143,H143, LOOKUP(1,0/(H$2:H143=I143),I$2:I144))))</f>
        <v>butCastGolem</v>
      </c>
      <c r="J144" s="1" t="str">
        <f t="shared" si="40"/>
        <v>createMovieClipSub</v>
      </c>
      <c r="K144" s="1" t="str">
        <f t="shared" si="38"/>
        <v>cont</v>
      </c>
      <c r="L144" s="1"/>
      <c r="M144" s="1"/>
      <c r="N144" s="1"/>
      <c r="O144" s="1"/>
      <c r="P144" s="14" t="str">
        <f t="shared" ca="1" si="41"/>
        <v>MovieClipSub * butCastGolemCont;</v>
      </c>
      <c r="Q144" s="14" t="str">
        <f t="shared" ca="1" si="42"/>
        <v>butCastGolemCont= butCastGolem-&gt;createMovieClipSub("cont");</v>
      </c>
    </row>
    <row r="145" spans="1:17" x14ac:dyDescent="0.25">
      <c r="A145" s="6"/>
      <c r="B145" s="5" t="s">
        <v>438</v>
      </c>
      <c r="C145" s="1">
        <f t="shared" ca="1" si="21"/>
        <v>3</v>
      </c>
      <c r="D145" s="1" t="s">
        <v>271</v>
      </c>
      <c r="E145" s="21" t="s">
        <v>633</v>
      </c>
      <c r="F145" s="21" t="s">
        <v>633</v>
      </c>
      <c r="G145" s="1" t="s">
        <v>594</v>
      </c>
      <c r="H145" s="1" t="str">
        <f t="shared" ca="1" si="39"/>
        <v>butCastGolemContContMask</v>
      </c>
      <c r="I145" s="1" t="str">
        <f ca="1">IF(C145&lt;2,"this",IF(C145=C144,I144,IF(C145&gt;C144,H144, LOOKUP(1,0/(H$2:H144=I144),I$2:I145))))</f>
        <v>butCastGolemCont</v>
      </c>
      <c r="J145" s="1" t="str">
        <f t="shared" si="40"/>
        <v>createMovieClipSub</v>
      </c>
      <c r="K145" s="1" t="str">
        <f t="shared" si="38"/>
        <v>contMask</v>
      </c>
      <c r="L145" s="1"/>
      <c r="M145" s="1"/>
      <c r="N145" s="1"/>
      <c r="O145" s="1"/>
      <c r="P145" s="14" t="str">
        <f t="shared" ca="1" si="41"/>
        <v>MovieClipSub * butCastGolemContContMask;</v>
      </c>
      <c r="Q145" s="14" t="str">
        <f t="shared" ca="1" si="42"/>
        <v>butCastGolemContContMask= butCastGolemCont-&gt;createMovieClipSub("contMask");</v>
      </c>
    </row>
    <row r="146" spans="1:17" x14ac:dyDescent="0.25">
      <c r="A146" s="6"/>
      <c r="B146" s="3" t="s">
        <v>411</v>
      </c>
      <c r="C146" s="1">
        <f t="shared" ca="1" si="21"/>
        <v>1</v>
      </c>
      <c r="D146" s="1" t="s">
        <v>271</v>
      </c>
      <c r="E146" s="21" t="s">
        <v>633</v>
      </c>
      <c r="F146" s="21" t="s">
        <v>633</v>
      </c>
      <c r="G146" s="1" t="s">
        <v>594</v>
      </c>
      <c r="H146" s="1" t="str">
        <f t="shared" ca="1" si="39"/>
        <v>butCastIceman</v>
      </c>
      <c r="I146" s="1" t="str">
        <f ca="1">IF(C146&lt;2,"this",IF(C146=C145,I145,IF(C146&gt;C145,H145, LOOKUP(1,0/(H$2:H145=I145),I$2:I146))))</f>
        <v>this</v>
      </c>
      <c r="J146" s="1" t="str">
        <f t="shared" si="40"/>
        <v>createMovieClipSub</v>
      </c>
      <c r="K146" s="1" t="str">
        <f t="shared" si="38"/>
        <v>butCastIceman</v>
      </c>
      <c r="L146" s="1"/>
      <c r="M146" s="1"/>
      <c r="N146" s="1"/>
      <c r="O146" s="1"/>
      <c r="P146" s="14" t="str">
        <f t="shared" ca="1" si="41"/>
        <v>MovieClipSub * butCastIceman;</v>
      </c>
      <c r="Q146" s="14" t="str">
        <f t="shared" ca="1" si="42"/>
        <v>butCastIceman= this-&gt;createMovieClipSub("butCastIceman");</v>
      </c>
    </row>
    <row r="147" spans="1:17" x14ac:dyDescent="0.25">
      <c r="A147" s="6"/>
      <c r="B147" s="4" t="s">
        <v>412</v>
      </c>
      <c r="C147" s="1">
        <f t="shared" ca="1" si="21"/>
        <v>2</v>
      </c>
      <c r="D147" s="1" t="s">
        <v>271</v>
      </c>
      <c r="E147" s="21" t="s">
        <v>633</v>
      </c>
      <c r="F147" s="21" t="s">
        <v>633</v>
      </c>
      <c r="G147" s="1" t="s">
        <v>766</v>
      </c>
      <c r="H147" s="1" t="str">
        <f t="shared" ca="1" si="39"/>
        <v>butCastIcemanCastIcemanCase</v>
      </c>
      <c r="I147" s="1" t="str">
        <f ca="1">IF(C147&lt;2,"this",IF(C147=C146,I146,IF(C147&gt;C146,H146, LOOKUP(1,0/(H$2:H146=I146),I$2:I147))))</f>
        <v>butCastIceman</v>
      </c>
      <c r="J147" s="1" t="str">
        <f t="shared" si="40"/>
        <v>createCase</v>
      </c>
      <c r="K147" s="1" t="str">
        <f t="shared" si="38"/>
        <v>castIcemanCase</v>
      </c>
      <c r="L147" s="1"/>
      <c r="M147" s="1"/>
      <c r="N147" s="1"/>
      <c r="O147" s="1"/>
      <c r="P147" s="14" t="str">
        <f t="shared" ca="1" si="41"/>
        <v>MCCase * butCastIcemanCastIcemanCase;</v>
      </c>
      <c r="Q147" s="14" t="str">
        <f t="shared" ca="1" si="42"/>
        <v>butCastIcemanCastIcemanCase= butCastIceman-&gt;createCase("castIcemanCase");</v>
      </c>
    </row>
    <row r="148" spans="1:17" x14ac:dyDescent="0.25">
      <c r="A148" s="6"/>
      <c r="B148" s="4" t="s">
        <v>84</v>
      </c>
      <c r="C148" s="1">
        <f t="shared" ca="1" si="21"/>
        <v>2</v>
      </c>
      <c r="D148" s="1" t="s">
        <v>271</v>
      </c>
      <c r="E148" s="21" t="s">
        <v>633</v>
      </c>
      <c r="F148" s="21" t="s">
        <v>633</v>
      </c>
      <c r="G148" s="1" t="s">
        <v>594</v>
      </c>
      <c r="H148" s="1" t="str">
        <f t="shared" ca="1" si="39"/>
        <v>butCastIcemanCont</v>
      </c>
      <c r="I148" s="1" t="str">
        <f ca="1">IF(C148&lt;2,"this",IF(C148=C147,I147,IF(C148&gt;C147,H147, LOOKUP(1,0/(H$2:H147=I147),I$2:I148))))</f>
        <v>butCastIceman</v>
      </c>
      <c r="J148" s="1" t="str">
        <f t="shared" si="40"/>
        <v>createMovieClipSub</v>
      </c>
      <c r="K148" s="1" t="str">
        <f t="shared" si="38"/>
        <v>cont</v>
      </c>
      <c r="L148" s="1"/>
      <c r="M148" s="1"/>
      <c r="N148" s="1"/>
      <c r="O148" s="1"/>
      <c r="P148" s="14" t="str">
        <f t="shared" ca="1" si="41"/>
        <v>MovieClipSub * butCastIcemanCont;</v>
      </c>
      <c r="Q148" s="14" t="str">
        <f t="shared" ca="1" si="42"/>
        <v>butCastIcemanCont= butCastIceman-&gt;createMovieClipSub("cont");</v>
      </c>
    </row>
    <row r="149" spans="1:17" x14ac:dyDescent="0.25">
      <c r="A149" s="6"/>
      <c r="B149" s="5" t="s">
        <v>438</v>
      </c>
      <c r="C149" s="1">
        <f t="shared" ref="C149:C212" ca="1" si="43">indent(B149)</f>
        <v>3</v>
      </c>
      <c r="D149" s="1" t="s">
        <v>271</v>
      </c>
      <c r="E149" s="21" t="s">
        <v>633</v>
      </c>
      <c r="F149" s="21" t="s">
        <v>633</v>
      </c>
      <c r="G149" s="1" t="s">
        <v>594</v>
      </c>
      <c r="H149" s="1" t="str">
        <f t="shared" ca="1" si="39"/>
        <v>butCastIcemanContContMask</v>
      </c>
      <c r="I149" s="1" t="str">
        <f ca="1">IF(C149&lt;2,"this",IF(C149=C148,I148,IF(C149&gt;C148,H148, LOOKUP(1,0/(H$2:H148=I148),I$2:I149))))</f>
        <v>butCastIcemanCont</v>
      </c>
      <c r="J149" s="1" t="str">
        <f t="shared" si="40"/>
        <v>createMovieClipSub</v>
      </c>
      <c r="K149" s="1" t="str">
        <f t="shared" si="38"/>
        <v>contMask</v>
      </c>
      <c r="L149" s="1"/>
      <c r="M149" s="1"/>
      <c r="N149" s="1"/>
      <c r="O149" s="1"/>
      <c r="P149" s="14" t="str">
        <f t="shared" ca="1" si="41"/>
        <v>MovieClipSub * butCastIcemanContContMask;</v>
      </c>
      <c r="Q149" s="14" t="str">
        <f t="shared" ca="1" si="42"/>
        <v>butCastIcemanContContMask= butCastIcemanCont-&gt;createMovieClipSub("contMask");</v>
      </c>
    </row>
    <row r="150" spans="1:17" x14ac:dyDescent="0.25">
      <c r="A150" s="6"/>
      <c r="B150" s="3" t="s">
        <v>414</v>
      </c>
      <c r="C150" s="1">
        <f t="shared" ca="1" si="43"/>
        <v>1</v>
      </c>
      <c r="D150" s="1" t="s">
        <v>271</v>
      </c>
      <c r="E150" s="21" t="s">
        <v>633</v>
      </c>
      <c r="F150" s="21" t="s">
        <v>633</v>
      </c>
      <c r="G150" s="1" t="s">
        <v>594</v>
      </c>
      <c r="H150" s="1" t="str">
        <f t="shared" ca="1" si="39"/>
        <v>buyFire</v>
      </c>
      <c r="I150" s="1" t="str">
        <f ca="1">IF(C150&lt;2,"this",IF(C150=C149,I149,IF(C150&gt;C149,H149, LOOKUP(1,0/(H$2:H149=I149),I$2:I150))))</f>
        <v>this</v>
      </c>
      <c r="J150" s="1" t="str">
        <f t="shared" si="40"/>
        <v>createMovieClipSub</v>
      </c>
      <c r="K150" s="1" t="str">
        <f t="shared" si="38"/>
        <v>buyFire</v>
      </c>
      <c r="L150" s="1"/>
      <c r="M150" s="1"/>
      <c r="N150" s="1"/>
      <c r="O150" s="1"/>
      <c r="P150" s="14" t="str">
        <f t="shared" ca="1" si="41"/>
        <v>MovieClipSub * buyFire;</v>
      </c>
      <c r="Q150" s="14" t="str">
        <f t="shared" ca="1" si="42"/>
        <v>buyFire= this-&gt;createMovieClipSub("buyFire");</v>
      </c>
    </row>
    <row r="151" spans="1:17" x14ac:dyDescent="0.25">
      <c r="A151" s="6"/>
      <c r="B151" s="4" t="s">
        <v>413</v>
      </c>
      <c r="C151" s="1">
        <f t="shared" ca="1" si="43"/>
        <v>2</v>
      </c>
      <c r="D151" s="1" t="s">
        <v>271</v>
      </c>
      <c r="E151" s="21" t="s">
        <v>633</v>
      </c>
      <c r="F151" s="21" t="s">
        <v>633</v>
      </c>
      <c r="G151" s="1" t="s">
        <v>684</v>
      </c>
      <c r="H151" s="1" t="str">
        <f t="shared" ca="1" si="39"/>
        <v>buyFireBuyTXT</v>
      </c>
      <c r="I151" s="1" t="str">
        <f ca="1">IF(C151&lt;2,"this",IF(C151=C150,I150,IF(C151&gt;C150,H150, LOOKUP(1,0/(H$2:H150=I150),I$2:I151))))</f>
        <v>buyFire</v>
      </c>
      <c r="J151" s="1" t="str">
        <f t="shared" si="40"/>
        <v>createText</v>
      </c>
      <c r="K151" s="1" t="str">
        <f t="shared" si="38"/>
        <v>buyTXT</v>
      </c>
      <c r="L151" s="1"/>
      <c r="M151" s="1"/>
      <c r="N151" s="1"/>
      <c r="O151" s="1"/>
      <c r="P151" s="14" t="str">
        <f t="shared" ca="1" si="41"/>
        <v>MCText * buyFireBuyTXT;</v>
      </c>
      <c r="Q151" s="14" t="str">
        <f t="shared" ca="1" si="42"/>
        <v>buyFireBuyTXT= buyFire-&gt;createText("buyTXT");</v>
      </c>
    </row>
    <row r="152" spans="1:17" x14ac:dyDescent="0.25">
      <c r="A152" s="6"/>
      <c r="B152" s="4" t="s">
        <v>416</v>
      </c>
      <c r="C152" s="1">
        <f t="shared" ca="1" si="43"/>
        <v>2</v>
      </c>
      <c r="D152" s="1" t="s">
        <v>271</v>
      </c>
      <c r="E152" s="21" t="s">
        <v>633</v>
      </c>
      <c r="F152" s="21" t="s">
        <v>633</v>
      </c>
      <c r="G152" s="1" t="s">
        <v>594</v>
      </c>
      <c r="H152" s="1" t="str">
        <f t="shared" ca="1" si="39"/>
        <v>buyFireCoin</v>
      </c>
      <c r="I152" s="1" t="str">
        <f ca="1">IF(C152&lt;2,"this",IF(C152=C151,I151,IF(C152&gt;C151,H151, LOOKUP(1,0/(H$2:H151=I151),I$2:I152))))</f>
        <v>buyFire</v>
      </c>
      <c r="J152" s="1" t="str">
        <f t="shared" si="40"/>
        <v>createMovieClipSub</v>
      </c>
      <c r="K152" s="1" t="str">
        <f t="shared" si="38"/>
        <v>coin</v>
      </c>
      <c r="L152" s="1"/>
      <c r="M152" s="1"/>
      <c r="N152" s="1"/>
      <c r="O152" s="1"/>
      <c r="P152" s="14" t="str">
        <f t="shared" ca="1" si="41"/>
        <v>MovieClipSub * buyFireCoin;</v>
      </c>
      <c r="Q152" s="14" t="str">
        <f t="shared" ca="1" si="42"/>
        <v>buyFireCoin= buyFire-&gt;createMovieClipSub("coin");</v>
      </c>
    </row>
    <row r="153" spans="1:17" x14ac:dyDescent="0.25">
      <c r="A153" s="6"/>
      <c r="B153" s="4" t="s">
        <v>415</v>
      </c>
      <c r="C153" s="1">
        <f t="shared" ca="1" si="43"/>
        <v>2</v>
      </c>
      <c r="D153" s="1" t="s">
        <v>271</v>
      </c>
      <c r="E153" s="21" t="s">
        <v>633</v>
      </c>
      <c r="F153" s="21" t="s">
        <v>633</v>
      </c>
      <c r="G153" s="1" t="s">
        <v>594</v>
      </c>
      <c r="H153" s="1" t="str">
        <f t="shared" ca="1" si="39"/>
        <v>buyFireLightUp</v>
      </c>
      <c r="I153" s="1" t="str">
        <f ca="1">IF(C153&lt;2,"this",IF(C153=C152,I152,IF(C153&gt;C152,H152, LOOKUP(1,0/(H$2:H152=I152),I$2:I153))))</f>
        <v>buyFire</v>
      </c>
      <c r="J153" s="1" t="str">
        <f t="shared" si="40"/>
        <v>createMovieClipSub</v>
      </c>
      <c r="K153" s="1" t="str">
        <f t="shared" si="38"/>
        <v>lightUp</v>
      </c>
      <c r="L153" s="1"/>
      <c r="M153" s="1"/>
      <c r="N153" s="1"/>
      <c r="O153" s="1"/>
      <c r="P153" s="14" t="str">
        <f t="shared" ca="1" si="41"/>
        <v>MovieClipSub * buyFireLightUp;</v>
      </c>
      <c r="Q153" s="14" t="str">
        <f t="shared" ca="1" si="42"/>
        <v>buyFireLightUp= buyFire-&gt;createMovieClipSub("lightUp");</v>
      </c>
    </row>
    <row r="154" spans="1:17" x14ac:dyDescent="0.25">
      <c r="A154" s="6"/>
      <c r="B154" s="3" t="s">
        <v>774</v>
      </c>
      <c r="C154" s="1">
        <f t="shared" ca="1" si="43"/>
        <v>1</v>
      </c>
      <c r="D154" s="1" t="s">
        <v>271</v>
      </c>
      <c r="E154" s="21" t="s">
        <v>633</v>
      </c>
      <c r="F154" s="21" t="s">
        <v>633</v>
      </c>
      <c r="G154" s="1" t="s">
        <v>594</v>
      </c>
      <c r="H154" s="1" t="str">
        <f t="shared" ca="1" si="39"/>
        <v>buyGetAll</v>
      </c>
      <c r="I154" s="1" t="str">
        <f ca="1">IF(C154&lt;2,"this",IF(C154=C153,I153,IF(C154&gt;C153,H153, LOOKUP(1,0/(H$2:H153=I153),I$2:I154))))</f>
        <v>this</v>
      </c>
      <c r="J154" s="1" t="str">
        <f t="shared" si="40"/>
        <v>createMovieClipSub</v>
      </c>
      <c r="K154" s="1" t="str">
        <f t="shared" si="38"/>
        <v>buyGetAll</v>
      </c>
      <c r="L154" s="1"/>
      <c r="M154" s="1"/>
      <c r="N154" s="1"/>
      <c r="O154" s="1"/>
      <c r="P154" s="14" t="str">
        <f t="shared" ca="1" si="41"/>
        <v>MovieClipSub * buyGetAll;</v>
      </c>
      <c r="Q154" s="14" t="str">
        <f t="shared" ca="1" si="42"/>
        <v>buyGetAll= this-&gt;createMovieClipSub("buyGetAll");</v>
      </c>
    </row>
    <row r="155" spans="1:17" x14ac:dyDescent="0.25">
      <c r="A155" s="6"/>
      <c r="B155" s="4" t="s">
        <v>413</v>
      </c>
      <c r="C155" s="1">
        <f t="shared" ca="1" si="43"/>
        <v>2</v>
      </c>
      <c r="D155" s="1" t="s">
        <v>271</v>
      </c>
      <c r="E155" s="21" t="s">
        <v>633</v>
      </c>
      <c r="F155" s="21" t="s">
        <v>633</v>
      </c>
      <c r="G155" s="1" t="s">
        <v>684</v>
      </c>
      <c r="H155" s="1" t="str">
        <f t="shared" ca="1" si="39"/>
        <v>buyGetAllBuyTXT</v>
      </c>
      <c r="I155" s="1" t="str">
        <f ca="1">IF(C155&lt;2,"this",IF(C155=C154,I154,IF(C155&gt;C154,H154, LOOKUP(1,0/(H$2:H154=I154),I$2:I155))))</f>
        <v>buyGetAll</v>
      </c>
      <c r="J155" s="1" t="str">
        <f t="shared" si="40"/>
        <v>createText</v>
      </c>
      <c r="K155" s="1" t="str">
        <f t="shared" si="38"/>
        <v>buyTXT</v>
      </c>
      <c r="L155" s="1"/>
      <c r="M155" s="1"/>
      <c r="N155" s="1"/>
      <c r="O155" s="1"/>
      <c r="P155" s="14" t="str">
        <f t="shared" ca="1" si="41"/>
        <v>MCText * buyGetAllBuyTXT;</v>
      </c>
      <c r="Q155" s="14" t="str">
        <f t="shared" ca="1" si="42"/>
        <v>buyGetAllBuyTXT= buyGetAll-&gt;createText("buyTXT");</v>
      </c>
    </row>
    <row r="156" spans="1:17" x14ac:dyDescent="0.25">
      <c r="A156" s="6"/>
      <c r="B156" s="4" t="s">
        <v>416</v>
      </c>
      <c r="C156" s="1">
        <f t="shared" ca="1" si="43"/>
        <v>2</v>
      </c>
      <c r="D156" s="1" t="s">
        <v>271</v>
      </c>
      <c r="E156" s="21" t="s">
        <v>633</v>
      </c>
      <c r="F156" s="21" t="s">
        <v>633</v>
      </c>
      <c r="G156" s="1" t="s">
        <v>594</v>
      </c>
      <c r="H156" s="1" t="str">
        <f t="shared" ca="1" si="39"/>
        <v>buyGetAllCoin</v>
      </c>
      <c r="I156" s="1" t="str">
        <f ca="1">IF(C156&lt;2,"this",IF(C156=C155,I155,IF(C156&gt;C155,H155, LOOKUP(1,0/(H$2:H155=I155),I$2:I156))))</f>
        <v>buyGetAll</v>
      </c>
      <c r="J156" s="1" t="str">
        <f t="shared" si="40"/>
        <v>createMovieClipSub</v>
      </c>
      <c r="K156" s="1" t="str">
        <f t="shared" ref="K156:K190" si="44">B156</f>
        <v>coin</v>
      </c>
      <c r="L156" s="1"/>
      <c r="M156" s="1"/>
      <c r="N156" s="1"/>
      <c r="O156" s="1"/>
      <c r="P156" s="14" t="str">
        <f t="shared" ca="1" si="41"/>
        <v>MovieClipSub * buyGetAllCoin;</v>
      </c>
      <c r="Q156" s="14" t="str">
        <f t="shared" ca="1" si="42"/>
        <v>buyGetAllCoin= buyGetAll-&gt;createMovieClipSub("coin");</v>
      </c>
    </row>
    <row r="157" spans="1:17" x14ac:dyDescent="0.25">
      <c r="A157" s="6"/>
      <c r="B157" s="4" t="s">
        <v>415</v>
      </c>
      <c r="C157" s="1">
        <f t="shared" ca="1" si="43"/>
        <v>2</v>
      </c>
      <c r="D157" s="1" t="s">
        <v>271</v>
      </c>
      <c r="E157" s="21" t="s">
        <v>633</v>
      </c>
      <c r="F157" s="21" t="s">
        <v>633</v>
      </c>
      <c r="G157" s="1" t="s">
        <v>594</v>
      </c>
      <c r="H157" s="1" t="str">
        <f t="shared" ref="H157:H188" ca="1" si="45">IF(OR(I157="this",LEN(I157)&lt;2),B157,CONCATENATE(I157, UPPER(LEFT(B157,1)) &amp; RIGHT(B157,LEN(B157)-1) ))</f>
        <v>buyGetAllLightUp</v>
      </c>
      <c r="I157" s="1" t="str">
        <f ca="1">IF(C157&lt;2,"this",IF(C157=C156,I156,IF(C157&gt;C156,H156, LOOKUP(1,0/(H$2:H156=I156),I$2:I157))))</f>
        <v>buyGetAll</v>
      </c>
      <c r="J157" s="1" t="str">
        <f t="shared" si="40"/>
        <v>createMovieClipSub</v>
      </c>
      <c r="K157" s="1" t="str">
        <f t="shared" si="44"/>
        <v>lightUp</v>
      </c>
      <c r="L157" s="1"/>
      <c r="M157" s="1"/>
      <c r="N157" s="1"/>
      <c r="O157" s="1"/>
      <c r="P157" s="14" t="str">
        <f t="shared" ca="1" si="41"/>
        <v>MovieClipSub * buyGetAllLightUp;</v>
      </c>
      <c r="Q157" s="14" t="str">
        <f t="shared" ca="1" si="42"/>
        <v>buyGetAllLightUp= buyGetAll-&gt;createMovieClipSub("lightUp");</v>
      </c>
    </row>
    <row r="158" spans="1:17" x14ac:dyDescent="0.25">
      <c r="A158" s="6"/>
      <c r="B158" s="3" t="s">
        <v>600</v>
      </c>
      <c r="C158" s="1">
        <f t="shared" ca="1" si="43"/>
        <v>1</v>
      </c>
      <c r="D158" s="1" t="s">
        <v>271</v>
      </c>
      <c r="E158" s="21" t="s">
        <v>633</v>
      </c>
      <c r="F158" s="21" t="s">
        <v>633</v>
      </c>
      <c r="G158" s="1" t="s">
        <v>594</v>
      </c>
      <c r="H158" s="1" t="str">
        <f t="shared" ca="1" si="45"/>
        <v>buyIce</v>
      </c>
      <c r="I158" s="1" t="str">
        <f ca="1">IF(C158&lt;2,"this",IF(C158=C157,I157,IF(C158&gt;C157,H157, LOOKUP(1,0/(H$2:H157=I157),I$2:I158))))</f>
        <v>this</v>
      </c>
      <c r="J158" s="1" t="str">
        <f t="shared" si="40"/>
        <v>createMovieClipSub</v>
      </c>
      <c r="K158" s="1" t="str">
        <f t="shared" si="44"/>
        <v>buyIce</v>
      </c>
      <c r="L158" s="1"/>
      <c r="M158" s="1"/>
      <c r="N158" s="1"/>
      <c r="O158" s="1"/>
      <c r="P158" s="14" t="str">
        <f t="shared" ca="1" si="41"/>
        <v>MovieClipSub * buyIce;</v>
      </c>
      <c r="Q158" s="14" t="str">
        <f t="shared" ca="1" si="42"/>
        <v>buyIce= this-&gt;createMovieClipSub("buyIce");</v>
      </c>
    </row>
    <row r="159" spans="1:17" x14ac:dyDescent="0.25">
      <c r="A159" s="6"/>
      <c r="B159" s="4" t="s">
        <v>413</v>
      </c>
      <c r="C159" s="1">
        <f t="shared" ca="1" si="43"/>
        <v>2</v>
      </c>
      <c r="D159" s="1" t="s">
        <v>271</v>
      </c>
      <c r="E159" s="21" t="s">
        <v>633</v>
      </c>
      <c r="F159" s="21" t="s">
        <v>633</v>
      </c>
      <c r="G159" s="1" t="s">
        <v>684</v>
      </c>
      <c r="H159" s="1" t="str">
        <f t="shared" ca="1" si="45"/>
        <v>buyIceBuyTXT</v>
      </c>
      <c r="I159" s="1" t="str">
        <f ca="1">IF(C159&lt;2,"this",IF(C159=C158,I158,IF(C159&gt;C158,H158, LOOKUP(1,0/(H$2:H158=I158),I$2:I159))))</f>
        <v>buyIce</v>
      </c>
      <c r="J159" s="1" t="str">
        <f t="shared" si="40"/>
        <v>createText</v>
      </c>
      <c r="K159" s="1" t="str">
        <f t="shared" si="44"/>
        <v>buyTXT</v>
      </c>
      <c r="L159" s="1"/>
      <c r="M159" s="1"/>
      <c r="N159" s="1"/>
      <c r="O159" s="1"/>
      <c r="P159" s="14" t="str">
        <f t="shared" ca="1" si="41"/>
        <v>MCText * buyIceBuyTXT;</v>
      </c>
      <c r="Q159" s="14" t="str">
        <f t="shared" ca="1" si="42"/>
        <v>buyIceBuyTXT= buyIce-&gt;createText("buyTXT");</v>
      </c>
    </row>
    <row r="160" spans="1:17" x14ac:dyDescent="0.25">
      <c r="A160" s="6"/>
      <c r="B160" s="4" t="s">
        <v>416</v>
      </c>
      <c r="C160" s="1">
        <f t="shared" ca="1" si="43"/>
        <v>2</v>
      </c>
      <c r="D160" s="1" t="s">
        <v>271</v>
      </c>
      <c r="E160" s="21" t="s">
        <v>633</v>
      </c>
      <c r="F160" s="21" t="s">
        <v>633</v>
      </c>
      <c r="G160" s="1" t="s">
        <v>594</v>
      </c>
      <c r="H160" s="1" t="str">
        <f t="shared" ca="1" si="45"/>
        <v>buyIceCoin</v>
      </c>
      <c r="I160" s="1" t="str">
        <f ca="1">IF(C160&lt;2,"this",IF(C160=C159,I159,IF(C160&gt;C159,H159, LOOKUP(1,0/(H$2:H159=I159),I$2:I160))))</f>
        <v>buyIce</v>
      </c>
      <c r="J160" s="1" t="str">
        <f t="shared" si="40"/>
        <v>createMovieClipSub</v>
      </c>
      <c r="K160" s="1" t="str">
        <f t="shared" si="44"/>
        <v>coin</v>
      </c>
      <c r="L160" s="1"/>
      <c r="M160" s="1"/>
      <c r="N160" s="1"/>
      <c r="O160" s="1"/>
      <c r="P160" s="14" t="str">
        <f t="shared" ca="1" si="41"/>
        <v>MovieClipSub * buyIceCoin;</v>
      </c>
      <c r="Q160" s="14" t="str">
        <f t="shared" ca="1" si="42"/>
        <v>buyIceCoin= buyIce-&gt;createMovieClipSub("coin");</v>
      </c>
    </row>
    <row r="161" spans="1:17" x14ac:dyDescent="0.25">
      <c r="A161" s="6"/>
      <c r="B161" s="4" t="s">
        <v>415</v>
      </c>
      <c r="C161" s="1">
        <f t="shared" ca="1" si="43"/>
        <v>2</v>
      </c>
      <c r="D161" s="1" t="s">
        <v>271</v>
      </c>
      <c r="E161" s="21" t="s">
        <v>633</v>
      </c>
      <c r="F161" s="21" t="s">
        <v>633</v>
      </c>
      <c r="G161" s="1" t="s">
        <v>594</v>
      </c>
      <c r="H161" s="1" t="str">
        <f t="shared" ca="1" si="45"/>
        <v>buyIceLightUp</v>
      </c>
      <c r="I161" s="1" t="str">
        <f ca="1">IF(C161&lt;2,"this",IF(C161=C160,I160,IF(C161&gt;C160,H160, LOOKUP(1,0/(H$2:H160=I160),I$2:I161))))</f>
        <v>buyIce</v>
      </c>
      <c r="J161" s="1" t="str">
        <f t="shared" si="40"/>
        <v>createMovieClipSub</v>
      </c>
      <c r="K161" s="1" t="str">
        <f t="shared" si="44"/>
        <v>lightUp</v>
      </c>
      <c r="L161" s="1"/>
      <c r="M161" s="1"/>
      <c r="N161" s="1"/>
      <c r="O161" s="1"/>
      <c r="P161" s="14" t="str">
        <f t="shared" ca="1" si="41"/>
        <v>MovieClipSub * buyIceLightUp;</v>
      </c>
      <c r="Q161" s="14" t="str">
        <f t="shared" ca="1" si="42"/>
        <v>buyIceLightUp= buyIce-&gt;createMovieClipSub("lightUp");</v>
      </c>
    </row>
    <row r="162" spans="1:17" x14ac:dyDescent="0.25">
      <c r="A162" s="6"/>
      <c r="B162" s="3" t="s">
        <v>601</v>
      </c>
      <c r="C162" s="1">
        <f t="shared" ca="1" si="43"/>
        <v>1</v>
      </c>
      <c r="D162" s="1" t="s">
        <v>271</v>
      </c>
      <c r="E162" s="21" t="s">
        <v>633</v>
      </c>
      <c r="F162" s="21" t="s">
        <v>633</v>
      </c>
      <c r="G162" s="1" t="s">
        <v>594</v>
      </c>
      <c r="H162" s="1" t="str">
        <f t="shared" ca="1" si="45"/>
        <v>buyLevin</v>
      </c>
      <c r="I162" s="1" t="str">
        <f ca="1">IF(C162&lt;2,"this",IF(C162=C161,I161,IF(C162&gt;C161,H161, LOOKUP(1,0/(H$2:H161=I161),I$2:I162))))</f>
        <v>this</v>
      </c>
      <c r="J162" s="1" t="str">
        <f t="shared" si="40"/>
        <v>createMovieClipSub</v>
      </c>
      <c r="K162" s="1" t="str">
        <f t="shared" si="44"/>
        <v>buyLevin</v>
      </c>
      <c r="L162" s="1"/>
      <c r="M162" s="1"/>
      <c r="N162" s="1"/>
      <c r="O162" s="1"/>
      <c r="P162" s="14" t="str">
        <f t="shared" ca="1" si="41"/>
        <v>MovieClipSub * buyLevin;</v>
      </c>
      <c r="Q162" s="14" t="str">
        <f t="shared" ca="1" si="42"/>
        <v>buyLevin= this-&gt;createMovieClipSub("buyLevin");</v>
      </c>
    </row>
    <row r="163" spans="1:17" x14ac:dyDescent="0.25">
      <c r="A163" s="6"/>
      <c r="B163" s="4" t="s">
        <v>413</v>
      </c>
      <c r="C163" s="1">
        <f t="shared" ca="1" si="43"/>
        <v>2</v>
      </c>
      <c r="D163" s="1" t="s">
        <v>271</v>
      </c>
      <c r="E163" s="21" t="s">
        <v>633</v>
      </c>
      <c r="F163" s="21" t="s">
        <v>633</v>
      </c>
      <c r="G163" s="1" t="s">
        <v>684</v>
      </c>
      <c r="H163" s="1" t="str">
        <f t="shared" ca="1" si="45"/>
        <v>buyLevinBuyTXT</v>
      </c>
      <c r="I163" s="1" t="str">
        <f ca="1">IF(C163&lt;2,"this",IF(C163=C162,I162,IF(C163&gt;C162,H162, LOOKUP(1,0/(H$2:H162=I162),I$2:I163))))</f>
        <v>buyLevin</v>
      </c>
      <c r="J163" s="1" t="str">
        <f t="shared" si="40"/>
        <v>createText</v>
      </c>
      <c r="K163" s="1" t="str">
        <f t="shared" si="44"/>
        <v>buyTXT</v>
      </c>
      <c r="L163" s="1"/>
      <c r="M163" s="1"/>
      <c r="N163" s="1"/>
      <c r="O163" s="1"/>
      <c r="P163" s="14" t="str">
        <f t="shared" ca="1" si="41"/>
        <v>MCText * buyLevinBuyTXT;</v>
      </c>
      <c r="Q163" s="14" t="str">
        <f t="shared" ca="1" si="42"/>
        <v>buyLevinBuyTXT= buyLevin-&gt;createText("buyTXT");</v>
      </c>
    </row>
    <row r="164" spans="1:17" x14ac:dyDescent="0.25">
      <c r="A164" s="6"/>
      <c r="B164" s="4" t="s">
        <v>416</v>
      </c>
      <c r="C164" s="1">
        <f t="shared" ca="1" si="43"/>
        <v>2</v>
      </c>
      <c r="D164" s="1" t="s">
        <v>271</v>
      </c>
      <c r="E164" s="21" t="s">
        <v>633</v>
      </c>
      <c r="F164" s="21" t="s">
        <v>633</v>
      </c>
      <c r="G164" s="1" t="s">
        <v>594</v>
      </c>
      <c r="H164" s="1" t="str">
        <f t="shared" ca="1" si="45"/>
        <v>buyLevinCoin</v>
      </c>
      <c r="I164" s="1" t="str">
        <f ca="1">IF(C164&lt;2,"this",IF(C164=C163,I163,IF(C164&gt;C163,H163, LOOKUP(1,0/(H$2:H163=I163),I$2:I164))))</f>
        <v>buyLevin</v>
      </c>
      <c r="J164" s="1" t="str">
        <f t="shared" si="40"/>
        <v>createMovieClipSub</v>
      </c>
      <c r="K164" s="1" t="str">
        <f t="shared" si="44"/>
        <v>coin</v>
      </c>
      <c r="L164" s="1"/>
      <c r="M164" s="1"/>
      <c r="N164" s="1"/>
      <c r="O164" s="1"/>
      <c r="P164" s="14" t="str">
        <f t="shared" ca="1" si="41"/>
        <v>MovieClipSub * buyLevinCoin;</v>
      </c>
      <c r="Q164" s="14" t="str">
        <f t="shared" ca="1" si="42"/>
        <v>buyLevinCoin= buyLevin-&gt;createMovieClipSub("coin");</v>
      </c>
    </row>
    <row r="165" spans="1:17" x14ac:dyDescent="0.25">
      <c r="A165" s="6"/>
      <c r="B165" s="4" t="s">
        <v>415</v>
      </c>
      <c r="C165" s="1">
        <f t="shared" ca="1" si="43"/>
        <v>2</v>
      </c>
      <c r="D165" s="1" t="s">
        <v>271</v>
      </c>
      <c r="E165" s="21" t="s">
        <v>633</v>
      </c>
      <c r="F165" s="21" t="s">
        <v>633</v>
      </c>
      <c r="G165" s="1" t="s">
        <v>594</v>
      </c>
      <c r="H165" s="1" t="str">
        <f t="shared" ca="1" si="45"/>
        <v>buyLevinLightUp</v>
      </c>
      <c r="I165" s="1" t="str">
        <f ca="1">IF(C165&lt;2,"this",IF(C165=C164,I164,IF(C165&gt;C164,H164, LOOKUP(1,0/(H$2:H164=I164),I$2:I165))))</f>
        <v>buyLevin</v>
      </c>
      <c r="J165" s="1" t="str">
        <f t="shared" si="40"/>
        <v>createMovieClipSub</v>
      </c>
      <c r="K165" s="1" t="str">
        <f t="shared" si="44"/>
        <v>lightUp</v>
      </c>
      <c r="L165" s="1"/>
      <c r="M165" s="1"/>
      <c r="N165" s="1"/>
      <c r="O165" s="1"/>
      <c r="P165" s="14" t="str">
        <f t="shared" ca="1" si="41"/>
        <v>MovieClipSub * buyLevinLightUp;</v>
      </c>
      <c r="Q165" s="14" t="str">
        <f t="shared" ca="1" si="42"/>
        <v>buyLevinLightUp= buyLevin-&gt;createMovieClipSub("lightUp");</v>
      </c>
    </row>
    <row r="166" spans="1:17" x14ac:dyDescent="0.25">
      <c r="A166" s="6"/>
      <c r="B166" s="3" t="s">
        <v>602</v>
      </c>
      <c r="C166" s="1">
        <f t="shared" ca="1" si="43"/>
        <v>1</v>
      </c>
      <c r="D166" s="1" t="s">
        <v>271</v>
      </c>
      <c r="E166" s="21" t="s">
        <v>633</v>
      </c>
      <c r="F166" s="21" t="s">
        <v>633</v>
      </c>
      <c r="G166" s="1" t="s">
        <v>594</v>
      </c>
      <c r="H166" s="1" t="str">
        <f t="shared" ca="1" si="45"/>
        <v>buyStone</v>
      </c>
      <c r="I166" s="1" t="str">
        <f ca="1">IF(C166&lt;2,"this",IF(C166=C165,I165,IF(C166&gt;C165,H165, LOOKUP(1,0/(H$2:H165=I165),I$2:I166))))</f>
        <v>this</v>
      </c>
      <c r="J166" s="1" t="str">
        <f t="shared" si="40"/>
        <v>createMovieClipSub</v>
      </c>
      <c r="K166" s="1" t="str">
        <f t="shared" si="44"/>
        <v>buyStone</v>
      </c>
      <c r="L166" s="1"/>
      <c r="M166" s="1"/>
      <c r="N166" s="1"/>
      <c r="O166" s="1"/>
      <c r="P166" s="14" t="str">
        <f t="shared" ca="1" si="41"/>
        <v>MovieClipSub * buyStone;</v>
      </c>
      <c r="Q166" s="14" t="str">
        <f t="shared" ca="1" si="42"/>
        <v>buyStone= this-&gt;createMovieClipSub("buyStone");</v>
      </c>
    </row>
    <row r="167" spans="1:17" x14ac:dyDescent="0.25">
      <c r="A167" s="6"/>
      <c r="B167" s="4" t="s">
        <v>413</v>
      </c>
      <c r="C167" s="1">
        <f t="shared" ca="1" si="43"/>
        <v>2</v>
      </c>
      <c r="D167" s="1" t="s">
        <v>271</v>
      </c>
      <c r="E167" s="21" t="s">
        <v>633</v>
      </c>
      <c r="F167" s="21" t="s">
        <v>633</v>
      </c>
      <c r="G167" s="1" t="s">
        <v>684</v>
      </c>
      <c r="H167" s="1" t="str">
        <f t="shared" ca="1" si="45"/>
        <v>buyStoneBuyTXT</v>
      </c>
      <c r="I167" s="1" t="str">
        <f ca="1">IF(C167&lt;2,"this",IF(C167=C166,I166,IF(C167&gt;C166,H166, LOOKUP(1,0/(H$2:H166=I166),I$2:I167))))</f>
        <v>buyStone</v>
      </c>
      <c r="J167" s="1" t="str">
        <f t="shared" si="40"/>
        <v>createText</v>
      </c>
      <c r="K167" s="1" t="str">
        <f t="shared" si="44"/>
        <v>buyTXT</v>
      </c>
      <c r="L167" s="1"/>
      <c r="M167" s="1"/>
      <c r="N167" s="1"/>
      <c r="O167" s="1"/>
      <c r="P167" s="14" t="str">
        <f t="shared" ca="1" si="41"/>
        <v>MCText * buyStoneBuyTXT;</v>
      </c>
      <c r="Q167" s="14" t="str">
        <f t="shared" ca="1" si="42"/>
        <v>buyStoneBuyTXT= buyStone-&gt;createText("buyTXT");</v>
      </c>
    </row>
    <row r="168" spans="1:17" x14ac:dyDescent="0.25">
      <c r="A168" s="6"/>
      <c r="B168" s="4" t="s">
        <v>416</v>
      </c>
      <c r="C168" s="1">
        <f t="shared" ca="1" si="43"/>
        <v>2</v>
      </c>
      <c r="D168" s="1" t="s">
        <v>271</v>
      </c>
      <c r="E168" s="21" t="s">
        <v>633</v>
      </c>
      <c r="F168" s="21" t="s">
        <v>633</v>
      </c>
      <c r="G168" s="1" t="s">
        <v>594</v>
      </c>
      <c r="H168" s="1" t="str">
        <f t="shared" ca="1" si="45"/>
        <v>buyStoneCoin</v>
      </c>
      <c r="I168" s="1" t="str">
        <f ca="1">IF(C168&lt;2,"this",IF(C168=C167,I167,IF(C168&gt;C167,H167, LOOKUP(1,0/(H$2:H167=I167),I$2:I168))))</f>
        <v>buyStone</v>
      </c>
      <c r="J168" s="1" t="str">
        <f t="shared" si="40"/>
        <v>createMovieClipSub</v>
      </c>
      <c r="K168" s="1" t="str">
        <f t="shared" si="44"/>
        <v>coin</v>
      </c>
      <c r="L168" s="1"/>
      <c r="M168" s="1"/>
      <c r="N168" s="1"/>
      <c r="O168" s="1"/>
      <c r="P168" s="14" t="str">
        <f t="shared" ca="1" si="41"/>
        <v>MovieClipSub * buyStoneCoin;</v>
      </c>
      <c r="Q168" s="14" t="str">
        <f t="shared" ca="1" si="42"/>
        <v>buyStoneCoin= buyStone-&gt;createMovieClipSub("coin");</v>
      </c>
    </row>
    <row r="169" spans="1:17" x14ac:dyDescent="0.25">
      <c r="A169" s="6"/>
      <c r="B169" s="4" t="s">
        <v>415</v>
      </c>
      <c r="C169" s="1">
        <f t="shared" ca="1" si="43"/>
        <v>2</v>
      </c>
      <c r="D169" s="1" t="s">
        <v>271</v>
      </c>
      <c r="E169" s="21" t="s">
        <v>633</v>
      </c>
      <c r="F169" s="21" t="s">
        <v>633</v>
      </c>
      <c r="G169" s="1" t="s">
        <v>594</v>
      </c>
      <c r="H169" s="1" t="str">
        <f t="shared" ca="1" si="45"/>
        <v>buyStoneLightUp</v>
      </c>
      <c r="I169" s="1" t="str">
        <f ca="1">IF(C169&lt;2,"this",IF(C169=C168,I168,IF(C169&gt;C168,H168, LOOKUP(1,0/(H$2:H168=I168),I$2:I169))))</f>
        <v>buyStone</v>
      </c>
      <c r="J169" s="1" t="str">
        <f t="shared" si="40"/>
        <v>createMovieClipSub</v>
      </c>
      <c r="K169" s="1" t="str">
        <f t="shared" si="44"/>
        <v>lightUp</v>
      </c>
      <c r="L169" s="1"/>
      <c r="M169" s="1"/>
      <c r="N169" s="1"/>
      <c r="O169" s="1"/>
      <c r="P169" s="14" t="str">
        <f t="shared" ca="1" si="41"/>
        <v>MovieClipSub * buyStoneLightUp;</v>
      </c>
      <c r="Q169" s="14" t="str">
        <f t="shared" ca="1" si="42"/>
        <v>buyStoneLightUp= buyStone-&gt;createMovieClipSub("lightUp");</v>
      </c>
    </row>
    <row r="170" spans="1:17" x14ac:dyDescent="0.25">
      <c r="A170" s="6"/>
      <c r="B170" s="3" t="s">
        <v>603</v>
      </c>
      <c r="C170" s="1">
        <f t="shared" ca="1" si="43"/>
        <v>1</v>
      </c>
      <c r="D170" s="1" t="s">
        <v>271</v>
      </c>
      <c r="E170" s="21" t="s">
        <v>633</v>
      </c>
      <c r="F170" s="21" t="s">
        <v>633</v>
      </c>
      <c r="G170" s="1" t="s">
        <v>594</v>
      </c>
      <c r="H170" s="1" t="str">
        <f t="shared" ca="1" si="45"/>
        <v>fast</v>
      </c>
      <c r="I170" s="1" t="str">
        <f ca="1">IF(C170&lt;2,"this",IF(C170=C169,I169,IF(C170&gt;C169,H169, LOOKUP(1,0/(H$2:H169=I169),I$2:I170))))</f>
        <v>this</v>
      </c>
      <c r="J170" s="1" t="str">
        <f t="shared" si="40"/>
        <v>createMovieClipSub</v>
      </c>
      <c r="K170" s="1" t="str">
        <f t="shared" si="44"/>
        <v>fast</v>
      </c>
      <c r="L170" s="1"/>
      <c r="M170" s="1"/>
      <c r="N170" s="1"/>
      <c r="O170" s="1"/>
      <c r="P170" s="14" t="str">
        <f t="shared" ca="1" si="41"/>
        <v>MovieClipSub * fast;</v>
      </c>
      <c r="Q170" s="14" t="str">
        <f t="shared" ca="1" si="42"/>
        <v>fast= this-&gt;createMovieClipSub("fast");</v>
      </c>
    </row>
    <row r="171" spans="1:17" x14ac:dyDescent="0.25">
      <c r="A171" s="6"/>
      <c r="B171" s="4" t="s">
        <v>417</v>
      </c>
      <c r="C171" s="1">
        <f t="shared" ca="1" si="43"/>
        <v>2</v>
      </c>
      <c r="D171" s="1" t="s">
        <v>271</v>
      </c>
      <c r="E171" s="21" t="s">
        <v>633</v>
      </c>
      <c r="F171" s="21" t="s">
        <v>633</v>
      </c>
      <c r="G171" s="1" t="s">
        <v>682</v>
      </c>
      <c r="H171" s="1" t="str">
        <f t="shared" ca="1" si="45"/>
        <v>fastFastCase</v>
      </c>
      <c r="I171" s="1" t="str">
        <f ca="1">IF(C171&lt;2,"this",IF(C171=C170,I170,IF(C171&gt;C170,H170, LOOKUP(1,0/(H$2:H170=I170),I$2:I171))))</f>
        <v>fast</v>
      </c>
      <c r="J171" s="1" t="str">
        <f t="shared" si="40"/>
        <v>createCase</v>
      </c>
      <c r="K171" s="1" t="str">
        <f t="shared" si="44"/>
        <v>fastCase</v>
      </c>
      <c r="L171" s="1"/>
      <c r="M171" s="1"/>
      <c r="N171" s="1"/>
      <c r="O171" s="1"/>
      <c r="P171" s="14" t="str">
        <f t="shared" ca="1" si="41"/>
        <v>MCCase * fastFastCase;</v>
      </c>
      <c r="Q171" s="14" t="str">
        <f t="shared" ca="1" si="42"/>
        <v>fastFastCase= fast-&gt;createCase("fastCase");</v>
      </c>
    </row>
    <row r="172" spans="1:17" x14ac:dyDescent="0.25">
      <c r="A172" s="6"/>
      <c r="B172" s="4" t="s">
        <v>84</v>
      </c>
      <c r="C172" s="1">
        <f t="shared" ca="1" si="43"/>
        <v>2</v>
      </c>
      <c r="D172" s="1" t="s">
        <v>271</v>
      </c>
      <c r="E172" s="21" t="s">
        <v>633</v>
      </c>
      <c r="F172" s="21" t="s">
        <v>633</v>
      </c>
      <c r="G172" s="1" t="s">
        <v>594</v>
      </c>
      <c r="H172" s="1" t="str">
        <f t="shared" ca="1" si="45"/>
        <v>fastCont</v>
      </c>
      <c r="I172" s="1" t="str">
        <f ca="1">IF(C172&lt;2,"this",IF(C172=C171,I171,IF(C172&gt;C171,H171, LOOKUP(1,0/(H$2:H171=I171),I$2:I172))))</f>
        <v>fast</v>
      </c>
      <c r="J172" s="1" t="str">
        <f t="shared" si="40"/>
        <v>createMovieClipSub</v>
      </c>
      <c r="K172" s="1" t="str">
        <f t="shared" si="44"/>
        <v>cont</v>
      </c>
      <c r="L172" s="1"/>
      <c r="M172" s="1"/>
      <c r="N172" s="1"/>
      <c r="O172" s="1"/>
      <c r="P172" s="14" t="str">
        <f t="shared" ca="1" si="41"/>
        <v>MovieClipSub * fastCont;</v>
      </c>
      <c r="Q172" s="14" t="str">
        <f t="shared" ca="1" si="42"/>
        <v>fastCont= fast-&gt;createMovieClipSub("cont");</v>
      </c>
    </row>
    <row r="173" spans="1:17" x14ac:dyDescent="0.25">
      <c r="A173" s="6"/>
      <c r="B173" s="3" t="s">
        <v>604</v>
      </c>
      <c r="C173" s="1">
        <f t="shared" ca="1" si="43"/>
        <v>1</v>
      </c>
      <c r="D173" s="1" t="s">
        <v>271</v>
      </c>
      <c r="E173" s="21" t="s">
        <v>633</v>
      </c>
      <c r="F173" s="21" t="s">
        <v>633</v>
      </c>
      <c r="G173" s="1" t="s">
        <v>594</v>
      </c>
      <c r="H173" s="1" t="str">
        <f t="shared" ca="1" si="45"/>
        <v>fireBack</v>
      </c>
      <c r="I173" s="1" t="str">
        <f ca="1">IF(C173&lt;2,"this",IF(C173=C172,I172,IF(C173&gt;C172,H172, LOOKUP(1,0/(H$2:H172=I172),I$2:I173))))</f>
        <v>this</v>
      </c>
      <c r="J173" s="1" t="str">
        <f t="shared" si="40"/>
        <v>createMovieClipSub</v>
      </c>
      <c r="K173" s="1" t="str">
        <f t="shared" si="44"/>
        <v>fireBack</v>
      </c>
      <c r="L173" s="1"/>
      <c r="M173" s="1"/>
      <c r="N173" s="1"/>
      <c r="O173" s="1"/>
      <c r="P173" s="14" t="str">
        <f t="shared" ca="1" si="41"/>
        <v>MovieClipSub * fireBack;</v>
      </c>
      <c r="Q173" s="14" t="str">
        <f t="shared" ca="1" si="42"/>
        <v>fireBack= this-&gt;createMovieClipSub("fireBack");</v>
      </c>
    </row>
    <row r="174" spans="1:17" x14ac:dyDescent="0.25">
      <c r="A174" s="6"/>
      <c r="B174" s="4" t="s">
        <v>84</v>
      </c>
      <c r="C174" s="1">
        <f t="shared" ca="1" si="43"/>
        <v>2</v>
      </c>
      <c r="D174" s="1" t="s">
        <v>271</v>
      </c>
      <c r="E174" s="21" t="s">
        <v>633</v>
      </c>
      <c r="F174" s="21" t="s">
        <v>633</v>
      </c>
      <c r="G174" s="1" t="s">
        <v>594</v>
      </c>
      <c r="H174" s="1" t="str">
        <f t="shared" ca="1" si="45"/>
        <v>fireBackCont</v>
      </c>
      <c r="I174" s="1" t="str">
        <f ca="1">IF(C174&lt;2,"this",IF(C174=C173,I173,IF(C174&gt;C173,H173, LOOKUP(1,0/(H$2:H173=I173),I$2:I174))))</f>
        <v>fireBack</v>
      </c>
      <c r="J174" s="1" t="str">
        <f t="shared" si="40"/>
        <v>createMovieClipSub</v>
      </c>
      <c r="K174" s="1" t="str">
        <f t="shared" si="44"/>
        <v>cont</v>
      </c>
      <c r="L174" s="1"/>
      <c r="M174" s="1"/>
      <c r="N174" s="1"/>
      <c r="O174" s="1"/>
      <c r="P174" s="14" t="str">
        <f t="shared" ca="1" si="41"/>
        <v>MovieClipSub * fireBackCont;</v>
      </c>
      <c r="Q174" s="14" t="str">
        <f t="shared" ca="1" si="42"/>
        <v>fireBackCont= fireBack-&gt;createMovieClipSub("cont");</v>
      </c>
    </row>
    <row r="175" spans="1:17" x14ac:dyDescent="0.25">
      <c r="A175" s="6"/>
      <c r="B175" s="3" t="s">
        <v>418</v>
      </c>
      <c r="C175" s="1">
        <f t="shared" ca="1" si="43"/>
        <v>1</v>
      </c>
      <c r="D175" s="1" t="s">
        <v>271</v>
      </c>
      <c r="E175" s="21" t="s">
        <v>633</v>
      </c>
      <c r="F175" s="21" t="s">
        <v>633</v>
      </c>
      <c r="G175" s="1" t="s">
        <v>594</v>
      </c>
      <c r="H175" s="1" t="str">
        <f t="shared" ca="1" si="45"/>
        <v>fireBacklight</v>
      </c>
      <c r="I175" s="1" t="str">
        <f ca="1">IF(C175&lt;2,"this",IF(C175=C174,I174,IF(C175&gt;C174,H174, LOOKUP(1,0/(H$2:H174=I174),I$2:I175))))</f>
        <v>this</v>
      </c>
      <c r="J175" s="1" t="str">
        <f t="shared" si="40"/>
        <v>createMovieClipSub</v>
      </c>
      <c r="K175" s="1" t="str">
        <f t="shared" si="44"/>
        <v>fireBacklight</v>
      </c>
      <c r="L175" s="1"/>
      <c r="M175" s="1"/>
      <c r="N175" s="1"/>
      <c r="O175" s="1"/>
      <c r="P175" s="14" t="str">
        <f t="shared" ca="1" si="41"/>
        <v>MovieClipSub * fireBacklight;</v>
      </c>
      <c r="Q175" s="14" t="str">
        <f t="shared" ca="1" si="42"/>
        <v>fireBacklight= this-&gt;createMovieClipSub("fireBacklight");</v>
      </c>
    </row>
    <row r="176" spans="1:17" x14ac:dyDescent="0.25">
      <c r="A176" s="6"/>
      <c r="B176" s="3" t="s">
        <v>419</v>
      </c>
      <c r="C176" s="1">
        <f t="shared" ca="1" si="43"/>
        <v>1</v>
      </c>
      <c r="D176" s="1" t="s">
        <v>271</v>
      </c>
      <c r="E176" s="21" t="s">
        <v>633</v>
      </c>
      <c r="F176" s="21" t="s">
        <v>633</v>
      </c>
      <c r="G176" s="1" t="s">
        <v>684</v>
      </c>
      <c r="H176" s="1" t="str">
        <f t="shared" ca="1" si="45"/>
        <v>fireNumTXT</v>
      </c>
      <c r="I176" s="1" t="str">
        <f ca="1">IF(C176&lt;2,"this",IF(C176=C175,I175,IF(C176&gt;C175,H175, LOOKUP(1,0/(H$2:H175=I175),I$2:I176))))</f>
        <v>this</v>
      </c>
      <c r="J176" s="1" t="str">
        <f t="shared" si="40"/>
        <v>createText</v>
      </c>
      <c r="K176" s="1" t="str">
        <f t="shared" si="44"/>
        <v>fireNumTXT</v>
      </c>
      <c r="L176" s="1"/>
      <c r="M176" s="1"/>
      <c r="N176" s="1"/>
      <c r="O176" s="1"/>
      <c r="P176" s="14" t="str">
        <f t="shared" ca="1" si="41"/>
        <v>MCText * fireNumTXT;</v>
      </c>
      <c r="Q176" s="14" t="str">
        <f t="shared" ca="1" si="42"/>
        <v>fireNumTXT= this-&gt;createText("fireNumTXT");</v>
      </c>
    </row>
    <row r="177" spans="1:17" x14ac:dyDescent="0.25">
      <c r="A177" s="6"/>
      <c r="B177" s="3" t="s">
        <v>420</v>
      </c>
      <c r="C177" s="1">
        <f t="shared" ca="1" si="43"/>
        <v>1</v>
      </c>
      <c r="D177" s="1" t="s">
        <v>271</v>
      </c>
      <c r="E177" s="21" t="s">
        <v>633</v>
      </c>
      <c r="F177" s="21" t="s">
        <v>633</v>
      </c>
      <c r="G177" s="1" t="s">
        <v>594</v>
      </c>
      <c r="H177" s="1" t="str">
        <f t="shared" ca="1" si="45"/>
        <v>firePrice</v>
      </c>
      <c r="I177" s="1" t="str">
        <f ca="1">IF(C177&lt;2,"this",IF(C177=C176,I176,IF(C177&gt;C176,H176, LOOKUP(1,0/(H$2:H176=I176),I$2:I177))))</f>
        <v>this</v>
      </c>
      <c r="J177" s="1" t="str">
        <f t="shared" si="40"/>
        <v>createMovieClipSub</v>
      </c>
      <c r="K177" s="1" t="str">
        <f t="shared" si="44"/>
        <v>firePrice</v>
      </c>
      <c r="L177" s="1"/>
      <c r="M177" s="1"/>
      <c r="N177" s="1"/>
      <c r="O177" s="1"/>
      <c r="P177" s="14" t="str">
        <f t="shared" ca="1" si="41"/>
        <v>MovieClipSub * firePrice;</v>
      </c>
      <c r="Q177" s="14" t="str">
        <f t="shared" ca="1" si="42"/>
        <v>firePrice= this-&gt;createMovieClipSub("firePrice");</v>
      </c>
    </row>
    <row r="178" spans="1:17" x14ac:dyDescent="0.25">
      <c r="A178" s="6"/>
      <c r="B178" s="3" t="s">
        <v>606</v>
      </c>
      <c r="C178" s="1">
        <f t="shared" ca="1" si="43"/>
        <v>1</v>
      </c>
      <c r="D178" s="1" t="s">
        <v>271</v>
      </c>
      <c r="E178" s="21" t="s">
        <v>633</v>
      </c>
      <c r="F178" s="21" t="s">
        <v>633</v>
      </c>
      <c r="G178" s="1" t="s">
        <v>594</v>
      </c>
      <c r="H178" s="1" t="str">
        <f t="shared" ca="1" si="45"/>
        <v>fireSphere</v>
      </c>
      <c r="I178" s="1" t="str">
        <f ca="1">IF(C178&lt;2,"this",IF(C178=C177,I177,IF(C178&gt;C177,H177, LOOKUP(1,0/(H$2:H177=I177),I$2:I178))))</f>
        <v>this</v>
      </c>
      <c r="J178" s="1" t="str">
        <f t="shared" si="40"/>
        <v>createMovieClipSub</v>
      </c>
      <c r="K178" s="1" t="str">
        <f t="shared" si="44"/>
        <v>fireSphere</v>
      </c>
      <c r="L178" s="1"/>
      <c r="M178" s="1"/>
      <c r="N178" s="1"/>
      <c r="O178" s="1"/>
      <c r="P178" s="14" t="str">
        <f t="shared" ca="1" si="41"/>
        <v>MovieClipSub * fireSphere;</v>
      </c>
      <c r="Q178" s="14" t="str">
        <f t="shared" ca="1" si="42"/>
        <v>fireSphere= this-&gt;createMovieClipSub("fireSphere");</v>
      </c>
    </row>
    <row r="179" spans="1:17" x14ac:dyDescent="0.25">
      <c r="A179" s="6"/>
      <c r="B179" s="4" t="s">
        <v>605</v>
      </c>
      <c r="C179" s="1">
        <f t="shared" ca="1" si="43"/>
        <v>2</v>
      </c>
      <c r="D179" s="1" t="s">
        <v>271</v>
      </c>
      <c r="E179" s="21" t="s">
        <v>633</v>
      </c>
      <c r="F179" s="21" t="s">
        <v>633</v>
      </c>
      <c r="G179" s="1" t="s">
        <v>682</v>
      </c>
      <c r="H179" s="1" t="str">
        <f t="shared" ca="1" si="45"/>
        <v>fireSphereSphereCase</v>
      </c>
      <c r="I179" s="1" t="str">
        <f ca="1">IF(C179&lt;2,"this",IF(C179=C178,I178,IF(C179&gt;C178,H178, LOOKUP(1,0/(H$2:H178=I178),I$2:I179))))</f>
        <v>fireSphere</v>
      </c>
      <c r="J179" s="1" t="str">
        <f t="shared" si="40"/>
        <v>createCase</v>
      </c>
      <c r="K179" s="1" t="str">
        <f t="shared" si="44"/>
        <v>sphereCase</v>
      </c>
      <c r="L179" s="1"/>
      <c r="M179" s="1"/>
      <c r="N179" s="1"/>
      <c r="O179" s="1"/>
      <c r="P179" s="14" t="str">
        <f t="shared" ca="1" si="41"/>
        <v>MCCase * fireSphereSphereCase;</v>
      </c>
      <c r="Q179" s="14" t="str">
        <f t="shared" ca="1" si="42"/>
        <v>fireSphereSphereCase= fireSphere-&gt;createCase("sphereCase");</v>
      </c>
    </row>
    <row r="180" spans="1:17" x14ac:dyDescent="0.25">
      <c r="A180" s="6"/>
      <c r="B180" s="3" t="s">
        <v>607</v>
      </c>
      <c r="C180" s="1">
        <f t="shared" ca="1" si="43"/>
        <v>1</v>
      </c>
      <c r="D180" s="1" t="s">
        <v>271</v>
      </c>
      <c r="E180" s="21" t="s">
        <v>633</v>
      </c>
      <c r="F180" s="21" t="s">
        <v>633</v>
      </c>
      <c r="G180" s="1" t="s">
        <v>594</v>
      </c>
      <c r="H180" s="1" t="str">
        <f t="shared" ca="1" si="45"/>
        <v>getAll</v>
      </c>
      <c r="I180" s="1" t="str">
        <f ca="1">IF(C180&lt;2,"this",IF(C180=C179,I179,IF(C180&gt;C179,H179, LOOKUP(1,0/(H$2:H179=I179),I$2:I180))))</f>
        <v>this</v>
      </c>
      <c r="J180" s="1" t="str">
        <f t="shared" si="40"/>
        <v>createMovieClipSub</v>
      </c>
      <c r="K180" s="1" t="str">
        <f t="shared" si="44"/>
        <v>getAll</v>
      </c>
      <c r="L180" s="1"/>
      <c r="M180" s="1"/>
      <c r="N180" s="1"/>
      <c r="O180" s="1"/>
      <c r="P180" s="14" t="str">
        <f t="shared" ca="1" si="41"/>
        <v>MovieClipSub * getAll;</v>
      </c>
      <c r="Q180" s="14" t="str">
        <f t="shared" ca="1" si="42"/>
        <v>getAll= this-&gt;createMovieClipSub("getAll");</v>
      </c>
    </row>
    <row r="181" spans="1:17" x14ac:dyDescent="0.25">
      <c r="A181" s="6"/>
      <c r="B181" s="4" t="s">
        <v>116</v>
      </c>
      <c r="C181" s="1">
        <f t="shared" ca="1" si="43"/>
        <v>2</v>
      </c>
      <c r="D181" s="1" t="s">
        <v>271</v>
      </c>
      <c r="E181" s="21" t="s">
        <v>633</v>
      </c>
      <c r="F181" s="21" t="s">
        <v>633</v>
      </c>
      <c r="G181" s="1" t="s">
        <v>594</v>
      </c>
      <c r="H181" s="1" t="str">
        <f t="shared" ca="1" si="45"/>
        <v>getAllFire</v>
      </c>
      <c r="I181" s="1" t="str">
        <f ca="1">IF(C181&lt;2,"this",IF(C181=C180,I180,IF(C181&gt;C180,H180, LOOKUP(1,0/(H$2:H180=I180),I$2:I181))))</f>
        <v>getAll</v>
      </c>
      <c r="J181" s="1" t="str">
        <f t="shared" si="40"/>
        <v>createMovieClipSub</v>
      </c>
      <c r="K181" s="1" t="str">
        <f t="shared" si="44"/>
        <v>fire</v>
      </c>
      <c r="L181" s="1"/>
      <c r="M181" s="1"/>
      <c r="N181" s="1"/>
      <c r="O181" s="1"/>
      <c r="P181" s="14" t="str">
        <f t="shared" ca="1" si="41"/>
        <v>MovieClipSub * getAllFire;</v>
      </c>
      <c r="Q181" s="14" t="str">
        <f t="shared" ca="1" si="42"/>
        <v>getAllFire= getAll-&gt;createMovieClipSub("fire");</v>
      </c>
    </row>
    <row r="182" spans="1:17" x14ac:dyDescent="0.25">
      <c r="A182" s="6"/>
      <c r="B182" s="4" t="s">
        <v>117</v>
      </c>
      <c r="C182" s="1">
        <f t="shared" ca="1" si="43"/>
        <v>2</v>
      </c>
      <c r="D182" s="1" t="s">
        <v>271</v>
      </c>
      <c r="E182" s="21" t="s">
        <v>633</v>
      </c>
      <c r="F182" s="21" t="s">
        <v>633</v>
      </c>
      <c r="G182" s="1" t="s">
        <v>594</v>
      </c>
      <c r="H182" s="1" t="str">
        <f t="shared" ca="1" si="45"/>
        <v>getAllIce</v>
      </c>
      <c r="I182" s="1" t="str">
        <f ca="1">IF(C182&lt;2,"this",IF(C182=C181,I181,IF(C182&gt;C181,H181, LOOKUP(1,0/(H$2:H181=I181),I$2:I182))))</f>
        <v>getAll</v>
      </c>
      <c r="J182" s="1" t="str">
        <f t="shared" si="40"/>
        <v>createMovieClipSub</v>
      </c>
      <c r="K182" s="1" t="str">
        <f t="shared" si="44"/>
        <v>ice</v>
      </c>
      <c r="L182" s="1"/>
      <c r="M182" s="1"/>
      <c r="N182" s="1"/>
      <c r="O182" s="1"/>
      <c r="P182" s="14" t="str">
        <f t="shared" ca="1" si="41"/>
        <v>MovieClipSub * getAllIce;</v>
      </c>
      <c r="Q182" s="14" t="str">
        <f t="shared" ca="1" si="42"/>
        <v>getAllIce= getAll-&gt;createMovieClipSub("ice");</v>
      </c>
    </row>
    <row r="183" spans="1:17" x14ac:dyDescent="0.25">
      <c r="A183" s="6"/>
      <c r="B183" s="4" t="s">
        <v>119</v>
      </c>
      <c r="C183" s="1">
        <f t="shared" ca="1" si="43"/>
        <v>2</v>
      </c>
      <c r="D183" s="1" t="s">
        <v>271</v>
      </c>
      <c r="E183" s="21" t="s">
        <v>633</v>
      </c>
      <c r="F183" s="21" t="s">
        <v>633</v>
      </c>
      <c r="G183" s="1" t="s">
        <v>594</v>
      </c>
      <c r="H183" s="1" t="str">
        <f t="shared" ca="1" si="45"/>
        <v>getAllLevin</v>
      </c>
      <c r="I183" s="1" t="str">
        <f ca="1">IF(C183&lt;2,"this",IF(C183=C182,I182,IF(C183&gt;C182,H182, LOOKUP(1,0/(H$2:H182=I182),I$2:I183))))</f>
        <v>getAll</v>
      </c>
      <c r="J183" s="1" t="str">
        <f t="shared" si="40"/>
        <v>createMovieClipSub</v>
      </c>
      <c r="K183" s="1" t="str">
        <f t="shared" si="44"/>
        <v>levin</v>
      </c>
      <c r="L183" s="1"/>
      <c r="M183" s="1"/>
      <c r="N183" s="1"/>
      <c r="O183" s="1"/>
      <c r="P183" s="14" t="str">
        <f t="shared" ca="1" si="41"/>
        <v>MovieClipSub * getAllLevin;</v>
      </c>
      <c r="Q183" s="14" t="str">
        <f t="shared" ca="1" si="42"/>
        <v>getAllLevin= getAll-&gt;createMovieClipSub("levin");</v>
      </c>
    </row>
    <row r="184" spans="1:17" x14ac:dyDescent="0.25">
      <c r="A184" s="6"/>
      <c r="B184" s="4" t="s">
        <v>421</v>
      </c>
      <c r="C184" s="1">
        <f t="shared" ca="1" si="43"/>
        <v>2</v>
      </c>
      <c r="D184" s="1" t="s">
        <v>271</v>
      </c>
      <c r="E184" s="21" t="s">
        <v>633</v>
      </c>
      <c r="F184" s="21" t="s">
        <v>633</v>
      </c>
      <c r="G184" s="1" t="s">
        <v>682</v>
      </c>
      <c r="H184" s="1" t="str">
        <f t="shared" ca="1" si="45"/>
        <v>getAllSphereCase</v>
      </c>
      <c r="I184" s="1" t="str">
        <f ca="1">IF(C184&lt;2,"this",IF(C184=C183,I183,IF(C184&gt;C183,H183, LOOKUP(1,0/(H$2:H183=I183),I$2:I184))))</f>
        <v>getAll</v>
      </c>
      <c r="J184" s="1" t="str">
        <f t="shared" si="40"/>
        <v>createCase</v>
      </c>
      <c r="K184" s="1" t="str">
        <f t="shared" si="44"/>
        <v>sphereCase</v>
      </c>
      <c r="L184" s="1"/>
      <c r="M184" s="1"/>
      <c r="N184" s="1"/>
      <c r="O184" s="1"/>
      <c r="P184" s="14" t="str">
        <f t="shared" ca="1" si="41"/>
        <v>MCCase * getAllSphereCase;</v>
      </c>
      <c r="Q184" s="14" t="str">
        <f t="shared" ca="1" si="42"/>
        <v>getAllSphereCase= getAll-&gt;createCase("sphereCase");</v>
      </c>
    </row>
    <row r="185" spans="1:17" x14ac:dyDescent="0.25">
      <c r="A185" s="6"/>
      <c r="B185" s="4" t="s">
        <v>118</v>
      </c>
      <c r="C185" s="1">
        <f t="shared" ca="1" si="43"/>
        <v>2</v>
      </c>
      <c r="D185" s="1" t="s">
        <v>271</v>
      </c>
      <c r="E185" s="21" t="s">
        <v>633</v>
      </c>
      <c r="F185" s="21" t="s">
        <v>633</v>
      </c>
      <c r="G185" s="1" t="s">
        <v>594</v>
      </c>
      <c r="H185" s="1" t="str">
        <f t="shared" ca="1" si="45"/>
        <v>getAllStone</v>
      </c>
      <c r="I185" s="1" t="str">
        <f ca="1">IF(C185&lt;2,"this",IF(C185=C184,I184,IF(C185&gt;C184,H184, LOOKUP(1,0/(H$2:H184=I184),I$2:I185))))</f>
        <v>getAll</v>
      </c>
      <c r="J185" s="1" t="str">
        <f t="shared" si="40"/>
        <v>createMovieClipSub</v>
      </c>
      <c r="K185" s="1" t="str">
        <f t="shared" si="44"/>
        <v>stone</v>
      </c>
      <c r="L185" s="1"/>
      <c r="M185" s="1"/>
      <c r="N185" s="1"/>
      <c r="O185" s="1"/>
      <c r="P185" s="14" t="str">
        <f t="shared" ca="1" si="41"/>
        <v>MovieClipSub * getAllStone;</v>
      </c>
      <c r="Q185" s="14" t="str">
        <f t="shared" ca="1" si="42"/>
        <v>getAllStone= getAll-&gt;createMovieClipSub("stone");</v>
      </c>
    </row>
    <row r="186" spans="1:17" x14ac:dyDescent="0.25">
      <c r="A186" s="6"/>
      <c r="B186" s="3" t="s">
        <v>422</v>
      </c>
      <c r="C186" s="1">
        <f t="shared" ca="1" si="43"/>
        <v>1</v>
      </c>
      <c r="D186" s="1" t="s">
        <v>271</v>
      </c>
      <c r="E186" s="21" t="s">
        <v>633</v>
      </c>
      <c r="F186" s="21" t="s">
        <v>633</v>
      </c>
      <c r="G186" s="1" t="s">
        <v>684</v>
      </c>
      <c r="H186" s="1" t="str">
        <f t="shared" ca="1" si="45"/>
        <v>getAllNumTXT</v>
      </c>
      <c r="I186" s="1" t="str">
        <f ca="1">IF(C186&lt;2,"this",IF(C186=C185,I185,IF(C186&gt;C185,H185, LOOKUP(1,0/(H$2:H185=I185),I$2:I186))))</f>
        <v>this</v>
      </c>
      <c r="J186" s="1" t="str">
        <f t="shared" si="40"/>
        <v>createText</v>
      </c>
      <c r="K186" s="1" t="str">
        <f t="shared" si="44"/>
        <v>getAllNumTXT</v>
      </c>
      <c r="L186" s="1"/>
      <c r="M186" s="1"/>
      <c r="N186" s="1"/>
      <c r="O186" s="1"/>
      <c r="P186" s="14" t="str">
        <f t="shared" ca="1" si="41"/>
        <v>MCText * getAllNumTXT;</v>
      </c>
      <c r="Q186" s="14" t="str">
        <f t="shared" ca="1" si="42"/>
        <v>getAllNumTXT= this-&gt;createText("getAllNumTXT");</v>
      </c>
    </row>
    <row r="187" spans="1:17" x14ac:dyDescent="0.25">
      <c r="A187" s="6"/>
      <c r="B187" s="3" t="s">
        <v>608</v>
      </c>
      <c r="C187" s="1">
        <f t="shared" ca="1" si="43"/>
        <v>1</v>
      </c>
      <c r="D187" s="1" t="s">
        <v>271</v>
      </c>
      <c r="E187" s="21" t="s">
        <v>633</v>
      </c>
      <c r="F187" s="21" t="s">
        <v>633</v>
      </c>
      <c r="G187" s="1" t="s">
        <v>594</v>
      </c>
      <c r="H187" s="1" t="str">
        <f t="shared" ca="1" si="45"/>
        <v>iceBack</v>
      </c>
      <c r="I187" s="1" t="str">
        <f ca="1">IF(C187&lt;2,"this",IF(C187=C186,I186,IF(C187&gt;C186,H186, LOOKUP(1,0/(H$2:H186=I186),I$2:I187))))</f>
        <v>this</v>
      </c>
      <c r="J187" s="1" t="str">
        <f t="shared" si="40"/>
        <v>createMovieClipSub</v>
      </c>
      <c r="K187" s="1" t="str">
        <f t="shared" si="44"/>
        <v>iceBack</v>
      </c>
      <c r="L187" s="1"/>
      <c r="M187" s="1"/>
      <c r="N187" s="1"/>
      <c r="O187" s="1"/>
      <c r="P187" s="14" t="str">
        <f t="shared" ca="1" si="41"/>
        <v>MovieClipSub * iceBack;</v>
      </c>
      <c r="Q187" s="14" t="str">
        <f t="shared" ca="1" si="42"/>
        <v>iceBack= this-&gt;createMovieClipSub("iceBack");</v>
      </c>
    </row>
    <row r="188" spans="1:17" x14ac:dyDescent="0.25">
      <c r="A188" s="6"/>
      <c r="B188" s="4" t="s">
        <v>84</v>
      </c>
      <c r="C188" s="1">
        <f t="shared" ca="1" si="43"/>
        <v>2</v>
      </c>
      <c r="D188" s="1" t="s">
        <v>271</v>
      </c>
      <c r="E188" s="21" t="s">
        <v>633</v>
      </c>
      <c r="F188" s="21" t="s">
        <v>633</v>
      </c>
      <c r="G188" s="1" t="s">
        <v>594</v>
      </c>
      <c r="H188" s="1" t="str">
        <f t="shared" ca="1" si="45"/>
        <v>iceBackCont</v>
      </c>
      <c r="I188" s="1" t="str">
        <f ca="1">IF(C188&lt;2,"this",IF(C188=C187,I187,IF(C188&gt;C187,H187, LOOKUP(1,0/(H$2:H187=I187),I$2:I188))))</f>
        <v>iceBack</v>
      </c>
      <c r="J188" s="1" t="str">
        <f t="shared" si="40"/>
        <v>createMovieClipSub</v>
      </c>
      <c r="K188" s="1" t="str">
        <f t="shared" si="44"/>
        <v>cont</v>
      </c>
      <c r="L188" s="1"/>
      <c r="M188" s="1"/>
      <c r="N188" s="1"/>
      <c r="O188" s="1"/>
      <c r="P188" s="14" t="str">
        <f t="shared" ca="1" si="41"/>
        <v>MovieClipSub * iceBackCont;</v>
      </c>
      <c r="Q188" s="14" t="str">
        <f t="shared" ca="1" si="42"/>
        <v>iceBackCont= iceBack-&gt;createMovieClipSub("cont");</v>
      </c>
    </row>
    <row r="189" spans="1:17" x14ac:dyDescent="0.25">
      <c r="A189" s="6"/>
      <c r="B189" s="3" t="s">
        <v>423</v>
      </c>
      <c r="C189" s="1">
        <f t="shared" ca="1" si="43"/>
        <v>1</v>
      </c>
      <c r="D189" s="1" t="s">
        <v>271</v>
      </c>
      <c r="E189" s="21" t="s">
        <v>633</v>
      </c>
      <c r="F189" s="21" t="s">
        <v>633</v>
      </c>
      <c r="G189" s="1" t="s">
        <v>594</v>
      </c>
      <c r="H189" s="1" t="str">
        <f t="shared" ref="H189:H220" ca="1" si="46">IF(OR(I189="this",LEN(I189)&lt;2),B189,CONCATENATE(I189, UPPER(LEFT(B189,1)) &amp; RIGHT(B189,LEN(B189)-1) ))</f>
        <v>iceBacklight</v>
      </c>
      <c r="I189" s="1" t="str">
        <f ca="1">IF(C189&lt;2,"this",IF(C189=C188,I188,IF(C189&gt;C188,H188, LOOKUP(1,0/(H$2:H188=I188),I$2:I189))))</f>
        <v>this</v>
      </c>
      <c r="J189" s="1" t="str">
        <f t="shared" si="40"/>
        <v>createMovieClipSub</v>
      </c>
      <c r="K189" s="1" t="str">
        <f t="shared" si="44"/>
        <v>iceBacklight</v>
      </c>
      <c r="L189" s="1"/>
      <c r="M189" s="1"/>
      <c r="N189" s="1"/>
      <c r="O189" s="1"/>
      <c r="P189" s="14" t="str">
        <f t="shared" ca="1" si="41"/>
        <v>MovieClipSub * iceBacklight;</v>
      </c>
      <c r="Q189" s="14" t="str">
        <f t="shared" ca="1" si="42"/>
        <v>iceBacklight= this-&gt;createMovieClipSub("iceBacklight");</v>
      </c>
    </row>
    <row r="190" spans="1:17" x14ac:dyDescent="0.25">
      <c r="A190" s="6"/>
      <c r="B190" s="3" t="s">
        <v>615</v>
      </c>
      <c r="C190" s="1">
        <f t="shared" ca="1" si="43"/>
        <v>1</v>
      </c>
      <c r="D190" s="1" t="s">
        <v>271</v>
      </c>
      <c r="E190" s="21" t="s">
        <v>633</v>
      </c>
      <c r="F190" s="21" t="s">
        <v>633</v>
      </c>
      <c r="G190" s="1" t="s">
        <v>684</v>
      </c>
      <c r="H190" s="1" t="str">
        <f t="shared" ca="1" si="46"/>
        <v>iceNumTXT</v>
      </c>
      <c r="I190" s="1" t="str">
        <f ca="1">IF(C190&lt;2,"this",IF(C190=C189,I189,IF(C190&gt;C189,H189, LOOKUP(1,0/(H$2:H189=I189),I$2:I190))))</f>
        <v>this</v>
      </c>
      <c r="J190" s="1" t="str">
        <f t="shared" si="40"/>
        <v>createText</v>
      </c>
      <c r="K190" s="1" t="str">
        <f t="shared" si="44"/>
        <v>iceNumTXT</v>
      </c>
      <c r="L190" s="1"/>
      <c r="M190" s="1"/>
      <c r="N190" s="1"/>
      <c r="O190" s="1"/>
      <c r="P190" s="14" t="str">
        <f t="shared" ca="1" si="41"/>
        <v>MCText * iceNumTXT;</v>
      </c>
      <c r="Q190" s="14" t="str">
        <f t="shared" ca="1" si="42"/>
        <v>iceNumTXT= this-&gt;createText("iceNumTXT");</v>
      </c>
    </row>
    <row r="191" spans="1:17" x14ac:dyDescent="0.25">
      <c r="A191" s="6"/>
      <c r="B191" s="3" t="s">
        <v>609</v>
      </c>
      <c r="C191" s="1">
        <f t="shared" ca="1" si="43"/>
        <v>1</v>
      </c>
      <c r="D191" s="1" t="s">
        <v>271</v>
      </c>
      <c r="E191" s="21" t="s">
        <v>633</v>
      </c>
      <c r="F191" s="21" t="s">
        <v>633</v>
      </c>
      <c r="G191" s="1" t="s">
        <v>594</v>
      </c>
      <c r="H191" s="1" t="str">
        <f t="shared" ca="1" si="46"/>
        <v>iceSphere</v>
      </c>
      <c r="I191" s="1" t="str">
        <f ca="1">IF(C191&lt;2,"this",IF(C191=C190,I190,IF(C191&gt;C190,H190, LOOKUP(1,0/(H$2:H190=I190),I$2:I191))))</f>
        <v>this</v>
      </c>
      <c r="J191" s="1" t="str">
        <f t="shared" si="40"/>
        <v>createMovieClipSub</v>
      </c>
      <c r="K191" s="1" t="str">
        <f t="shared" ref="K191:K222" si="47">B191</f>
        <v>iceSphere</v>
      </c>
      <c r="L191" s="1"/>
      <c r="M191" s="1"/>
      <c r="N191" s="1"/>
      <c r="O191" s="1"/>
      <c r="P191" s="14" t="str">
        <f t="shared" ca="1" si="41"/>
        <v>MovieClipSub * iceSphere;</v>
      </c>
      <c r="Q191" s="14" t="str">
        <f t="shared" ca="1" si="42"/>
        <v>iceSphere= this-&gt;createMovieClipSub("iceSphere");</v>
      </c>
    </row>
    <row r="192" spans="1:17" x14ac:dyDescent="0.25">
      <c r="A192" s="6"/>
      <c r="B192" s="4" t="s">
        <v>421</v>
      </c>
      <c r="C192" s="1">
        <f t="shared" ca="1" si="43"/>
        <v>2</v>
      </c>
      <c r="D192" s="1" t="s">
        <v>271</v>
      </c>
      <c r="E192" s="21" t="s">
        <v>633</v>
      </c>
      <c r="F192" s="21" t="s">
        <v>633</v>
      </c>
      <c r="G192" s="1" t="s">
        <v>682</v>
      </c>
      <c r="H192" s="1" t="str">
        <f t="shared" ca="1" si="46"/>
        <v>iceSphereSphereCase</v>
      </c>
      <c r="I192" s="1" t="str">
        <f ca="1">IF(C192&lt;2,"this",IF(C192=C191,I191,IF(C192&gt;C191,H191, LOOKUP(1,0/(H$2:H191=I191),I$2:I192))))</f>
        <v>iceSphere</v>
      </c>
      <c r="J192" s="1" t="str">
        <f t="shared" si="40"/>
        <v>createCase</v>
      </c>
      <c r="K192" s="1" t="str">
        <f t="shared" si="47"/>
        <v>sphereCase</v>
      </c>
      <c r="L192" s="1"/>
      <c r="M192" s="1"/>
      <c r="N192" s="1"/>
      <c r="O192" s="1"/>
      <c r="P192" s="14" t="str">
        <f t="shared" ca="1" si="41"/>
        <v>MCCase * iceSphereSphereCase;</v>
      </c>
      <c r="Q192" s="14" t="str">
        <f t="shared" ca="1" si="42"/>
        <v>iceSphereSphereCase= iceSphere-&gt;createCase("sphereCase");</v>
      </c>
    </row>
    <row r="193" spans="1:17" x14ac:dyDescent="0.25">
      <c r="A193" s="6"/>
      <c r="B193" s="3" t="s">
        <v>424</v>
      </c>
      <c r="C193" s="1">
        <f t="shared" ca="1" si="43"/>
        <v>1</v>
      </c>
      <c r="D193" s="1" t="s">
        <v>271</v>
      </c>
      <c r="E193" s="21" t="s">
        <v>633</v>
      </c>
      <c r="F193" s="21" t="s">
        <v>633</v>
      </c>
      <c r="G193" s="1" t="s">
        <v>684</v>
      </c>
      <c r="H193" s="1" t="str">
        <f t="shared" ca="1" si="46"/>
        <v>lastTime</v>
      </c>
      <c r="I193" s="1" t="str">
        <f ca="1">IF(C193&lt;2,"this",IF(C193=C192,I192,IF(C193&gt;C192,H192, LOOKUP(1,0/(H$2:H192=I192),I$2:I193))))</f>
        <v>this</v>
      </c>
      <c r="J193" s="1" t="str">
        <f t="shared" si="40"/>
        <v>createText</v>
      </c>
      <c r="K193" s="1" t="str">
        <f t="shared" si="47"/>
        <v>lastTime</v>
      </c>
      <c r="L193" s="1"/>
      <c r="M193" s="1"/>
      <c r="N193" s="1"/>
      <c r="O193" s="1"/>
      <c r="P193" s="14" t="str">
        <f t="shared" ca="1" si="41"/>
        <v>MCText * lastTime;</v>
      </c>
      <c r="Q193" s="14" t="str">
        <f t="shared" ca="1" si="42"/>
        <v>lastTime= this-&gt;createText("lastTime");</v>
      </c>
    </row>
    <row r="194" spans="1:17" x14ac:dyDescent="0.25">
      <c r="A194" s="6"/>
      <c r="B194" s="3" t="s">
        <v>610</v>
      </c>
      <c r="C194" s="1">
        <f t="shared" ca="1" si="43"/>
        <v>1</v>
      </c>
      <c r="D194" s="1" t="s">
        <v>271</v>
      </c>
      <c r="E194" s="21" t="s">
        <v>633</v>
      </c>
      <c r="F194" s="21" t="s">
        <v>633</v>
      </c>
      <c r="G194" s="1" t="s">
        <v>594</v>
      </c>
      <c r="H194" s="1" t="str">
        <f t="shared" ca="1" si="46"/>
        <v>levinBack</v>
      </c>
      <c r="I194" s="1" t="str">
        <f ca="1">IF(C194&lt;2,"this",IF(C194=C193,I193,IF(C194&gt;C193,H193, LOOKUP(1,0/(H$2:H193=I193),I$2:I194))))</f>
        <v>this</v>
      </c>
      <c r="J194" s="1" t="str">
        <f t="shared" si="40"/>
        <v>createMovieClipSub</v>
      </c>
      <c r="K194" s="1" t="str">
        <f t="shared" si="47"/>
        <v>levinBack</v>
      </c>
      <c r="L194" s="1"/>
      <c r="M194" s="1"/>
      <c r="N194" s="1"/>
      <c r="O194" s="1"/>
      <c r="P194" s="14" t="str">
        <f t="shared" ca="1" si="41"/>
        <v>MovieClipSub * levinBack;</v>
      </c>
      <c r="Q194" s="14" t="str">
        <f t="shared" ca="1" si="42"/>
        <v>levinBack= this-&gt;createMovieClipSub("levinBack");</v>
      </c>
    </row>
    <row r="195" spans="1:17" x14ac:dyDescent="0.25">
      <c r="A195" s="6"/>
      <c r="B195" s="4" t="s">
        <v>84</v>
      </c>
      <c r="C195" s="1">
        <f t="shared" ca="1" si="43"/>
        <v>2</v>
      </c>
      <c r="D195" s="1" t="s">
        <v>271</v>
      </c>
      <c r="E195" s="21" t="s">
        <v>633</v>
      </c>
      <c r="F195" s="21" t="s">
        <v>633</v>
      </c>
      <c r="G195" s="1" t="s">
        <v>594</v>
      </c>
      <c r="H195" s="1" t="str">
        <f t="shared" ca="1" si="46"/>
        <v>levinBackCont</v>
      </c>
      <c r="I195" s="1" t="str">
        <f ca="1">IF(C195&lt;2,"this",IF(C195=C194,I194,IF(C195&gt;C194,H194, LOOKUP(1,0/(H$2:H194=I194),I$2:I195))))</f>
        <v>levinBack</v>
      </c>
      <c r="J195" s="1" t="str">
        <f t="shared" si="40"/>
        <v>createMovieClipSub</v>
      </c>
      <c r="K195" s="1" t="str">
        <f t="shared" si="47"/>
        <v>cont</v>
      </c>
      <c r="L195" s="1"/>
      <c r="M195" s="1"/>
      <c r="N195" s="1"/>
      <c r="O195" s="1"/>
      <c r="P195" s="14" t="str">
        <f t="shared" ca="1" si="41"/>
        <v>MovieClipSub * levinBackCont;</v>
      </c>
      <c r="Q195" s="14" t="str">
        <f t="shared" ca="1" si="42"/>
        <v>levinBackCont= levinBack-&gt;createMovieClipSub("cont");</v>
      </c>
    </row>
    <row r="196" spans="1:17" x14ac:dyDescent="0.25">
      <c r="A196" s="6"/>
      <c r="B196" s="3" t="s">
        <v>425</v>
      </c>
      <c r="C196" s="1">
        <f t="shared" ca="1" si="43"/>
        <v>1</v>
      </c>
      <c r="D196" s="1" t="s">
        <v>271</v>
      </c>
      <c r="E196" s="21" t="s">
        <v>633</v>
      </c>
      <c r="F196" s="21" t="s">
        <v>633</v>
      </c>
      <c r="G196" s="1" t="s">
        <v>110</v>
      </c>
      <c r="H196" s="1" t="str">
        <f t="shared" ca="1" si="46"/>
        <v>levinBacklight</v>
      </c>
      <c r="I196" s="1" t="str">
        <f ca="1">IF(C196&lt;2,"this",IF(C196=C195,I195,IF(C196&gt;C195,H195, LOOKUP(1,0/(H$2:H195=I195),I$2:I196))))</f>
        <v>this</v>
      </c>
      <c r="J196" s="1" t="str">
        <f t="shared" si="40"/>
        <v>createdb</v>
      </c>
      <c r="K196" s="1" t="str">
        <f t="shared" si="47"/>
        <v>levinBacklight</v>
      </c>
      <c r="L196" s="1"/>
      <c r="M196" s="1"/>
      <c r="N196" s="1"/>
      <c r="O196" s="1"/>
      <c r="P196" s="14" t="str">
        <f t="shared" ca="1" si="41"/>
        <v>db * levinBacklight;</v>
      </c>
      <c r="Q196" s="14" t="str">
        <f t="shared" ca="1" si="42"/>
        <v>levinBacklight= this-&gt;createdb("levinBacklight");</v>
      </c>
    </row>
    <row r="197" spans="1:17" x14ac:dyDescent="0.25">
      <c r="A197" s="6"/>
      <c r="B197" s="3" t="s">
        <v>426</v>
      </c>
      <c r="C197" s="1">
        <f t="shared" ca="1" si="43"/>
        <v>1</v>
      </c>
      <c r="D197" s="1" t="s">
        <v>271</v>
      </c>
      <c r="E197" s="21" t="s">
        <v>633</v>
      </c>
      <c r="F197" s="21" t="s">
        <v>633</v>
      </c>
      <c r="G197" s="1" t="s">
        <v>684</v>
      </c>
      <c r="H197" s="1" t="str">
        <f t="shared" ca="1" si="46"/>
        <v>levinNumTXT</v>
      </c>
      <c r="I197" s="1" t="str">
        <f ca="1">IF(C197&lt;2,"this",IF(C197=C196,I196,IF(C197&gt;C196,H196, LOOKUP(1,0/(H$2:H196=I196),I$2:I197))))</f>
        <v>this</v>
      </c>
      <c r="J197" s="1" t="str">
        <f t="shared" ref="J197:J222" si="48">CONCATENATE("create",IF(LEFT(G197,2)="MC",MID(G197,3,LEN(G197)),G197))</f>
        <v>createText</v>
      </c>
      <c r="K197" s="1" t="str">
        <f t="shared" si="47"/>
        <v>levinNumTXT</v>
      </c>
      <c r="L197" s="1"/>
      <c r="M197" s="1"/>
      <c r="N197" s="1"/>
      <c r="O197" s="1"/>
      <c r="P197" s="14" t="str">
        <f t="shared" ca="1" si="41"/>
        <v>MCText * levinNumTXT;</v>
      </c>
      <c r="Q197" s="14" t="str">
        <f t="shared" ca="1" si="42"/>
        <v>levinNumTXT= this-&gt;createText("levinNumTXT");</v>
      </c>
    </row>
    <row r="198" spans="1:17" x14ac:dyDescent="0.25">
      <c r="A198" s="6"/>
      <c r="B198" s="3" t="s">
        <v>611</v>
      </c>
      <c r="C198" s="1">
        <f t="shared" ca="1" si="43"/>
        <v>1</v>
      </c>
      <c r="D198" s="1" t="s">
        <v>271</v>
      </c>
      <c r="E198" s="21" t="s">
        <v>633</v>
      </c>
      <c r="F198" s="21" t="s">
        <v>633</v>
      </c>
      <c r="G198" s="1" t="s">
        <v>594</v>
      </c>
      <c r="H198" s="1" t="str">
        <f t="shared" ca="1" si="46"/>
        <v>levinSphere</v>
      </c>
      <c r="I198" s="1" t="str">
        <f ca="1">IF(C198&lt;2,"this",IF(C198=C197,I197,IF(C198&gt;C197,H197, LOOKUP(1,0/(H$2:H197=I197),I$2:I198))))</f>
        <v>this</v>
      </c>
      <c r="J198" s="1" t="str">
        <f t="shared" si="48"/>
        <v>createMovieClipSub</v>
      </c>
      <c r="K198" s="1" t="str">
        <f t="shared" si="47"/>
        <v>levinSphere</v>
      </c>
      <c r="L198" s="1"/>
      <c r="M198" s="1"/>
      <c r="N198" s="1"/>
      <c r="O198" s="1"/>
      <c r="P198" s="14" t="str">
        <f t="shared" ca="1" si="41"/>
        <v>MovieClipSub * levinSphere;</v>
      </c>
      <c r="Q198" s="14" t="str">
        <f t="shared" ca="1" si="42"/>
        <v>levinSphere= this-&gt;createMovieClipSub("levinSphere");</v>
      </c>
    </row>
    <row r="199" spans="1:17" x14ac:dyDescent="0.25">
      <c r="A199" s="6"/>
      <c r="B199" s="4" t="s">
        <v>421</v>
      </c>
      <c r="C199" s="1">
        <f t="shared" ca="1" si="43"/>
        <v>2</v>
      </c>
      <c r="D199" s="1" t="s">
        <v>271</v>
      </c>
      <c r="E199" s="21" t="s">
        <v>633</v>
      </c>
      <c r="F199" s="21" t="s">
        <v>633</v>
      </c>
      <c r="G199" s="1" t="s">
        <v>682</v>
      </c>
      <c r="H199" s="1" t="str">
        <f t="shared" ca="1" si="46"/>
        <v>levinSphereSphereCase</v>
      </c>
      <c r="I199" s="1" t="str">
        <f ca="1">IF(C199&lt;2,"this",IF(C199=C198,I198,IF(C199&gt;C198,H198, LOOKUP(1,0/(H$2:H198=I198),I$2:I199))))</f>
        <v>levinSphere</v>
      </c>
      <c r="J199" s="1" t="str">
        <f t="shared" si="48"/>
        <v>createCase</v>
      </c>
      <c r="K199" s="1" t="str">
        <f t="shared" si="47"/>
        <v>sphereCase</v>
      </c>
      <c r="L199" s="1"/>
      <c r="M199" s="1"/>
      <c r="N199" s="1"/>
      <c r="O199" s="1"/>
      <c r="P199" s="14" t="str">
        <f t="shared" ca="1" si="41"/>
        <v>MCCase * levinSphereSphereCase;</v>
      </c>
      <c r="Q199" s="14" t="str">
        <f t="shared" ca="1" si="42"/>
        <v>levinSphereSphereCase= levinSphere-&gt;createCase("sphereCase");</v>
      </c>
    </row>
    <row r="200" spans="1:17" x14ac:dyDescent="0.25">
      <c r="A200" s="6"/>
      <c r="B200" s="3" t="s">
        <v>427</v>
      </c>
      <c r="C200" s="1">
        <f t="shared" ca="1" si="43"/>
        <v>1</v>
      </c>
      <c r="D200" s="1" t="s">
        <v>271</v>
      </c>
      <c r="E200" s="21" t="s">
        <v>633</v>
      </c>
      <c r="F200" s="21" t="s">
        <v>633</v>
      </c>
      <c r="G200" s="1" t="s">
        <v>684</v>
      </c>
      <c r="H200" s="1" t="str">
        <f t="shared" ca="1" si="46"/>
        <v>liveTXT</v>
      </c>
      <c r="I200" s="1" t="str">
        <f ca="1">IF(C200&lt;2,"this",IF(C200=C199,I199,IF(C200&gt;C199,H199, LOOKUP(1,0/(H$2:H199=I199),I$2:I200))))</f>
        <v>this</v>
      </c>
      <c r="J200" s="1" t="str">
        <f t="shared" si="48"/>
        <v>createText</v>
      </c>
      <c r="K200" s="1" t="str">
        <f t="shared" si="47"/>
        <v>liveTXT</v>
      </c>
      <c r="L200" s="1"/>
      <c r="M200" s="1"/>
      <c r="N200" s="1"/>
      <c r="O200" s="1"/>
      <c r="P200" s="14" t="str">
        <f t="shared" ca="1" si="41"/>
        <v>MCText * liveTXT;</v>
      </c>
      <c r="Q200" s="14" t="str">
        <f t="shared" ca="1" si="42"/>
        <v>liveTXT= this-&gt;createText("liveTXT");</v>
      </c>
    </row>
    <row r="201" spans="1:17" x14ac:dyDescent="0.25">
      <c r="A201" s="6"/>
      <c r="B201" s="3" t="s">
        <v>428</v>
      </c>
      <c r="C201" s="1">
        <f t="shared" ca="1" si="43"/>
        <v>1</v>
      </c>
      <c r="D201" s="1" t="s">
        <v>271</v>
      </c>
      <c r="E201" s="21" t="s">
        <v>633</v>
      </c>
      <c r="F201" s="21" t="s">
        <v>633</v>
      </c>
      <c r="G201" s="1" t="s">
        <v>684</v>
      </c>
      <c r="H201" s="1" t="str">
        <f t="shared" ca="1" si="46"/>
        <v>moneyTXT</v>
      </c>
      <c r="I201" s="1" t="str">
        <f ca="1">IF(C201&lt;2,"this",IF(C201=C200,I200,IF(C201&gt;C200,H200, LOOKUP(1,0/(H$2:H200=I200),I$2:I201))))</f>
        <v>this</v>
      </c>
      <c r="J201" s="1" t="str">
        <f t="shared" si="48"/>
        <v>createText</v>
      </c>
      <c r="K201" s="1" t="str">
        <f t="shared" si="47"/>
        <v>moneyTXT</v>
      </c>
      <c r="L201" s="1"/>
      <c r="M201" s="1"/>
      <c r="N201" s="1"/>
      <c r="O201" s="1"/>
      <c r="P201" s="14" t="str">
        <f t="shared" ca="1" si="41"/>
        <v>MCText * moneyTXT;</v>
      </c>
      <c r="Q201" s="14" t="str">
        <f t="shared" ca="1" si="42"/>
        <v>moneyTXT= this-&gt;createText("moneyTXT");</v>
      </c>
    </row>
    <row r="202" spans="1:17" x14ac:dyDescent="0.25">
      <c r="A202" s="6"/>
      <c r="B202" s="3" t="s">
        <v>612</v>
      </c>
      <c r="C202" s="1">
        <f t="shared" ca="1" si="43"/>
        <v>1</v>
      </c>
      <c r="D202" s="1" t="s">
        <v>271</v>
      </c>
      <c r="E202" s="21" t="s">
        <v>633</v>
      </c>
      <c r="F202" s="21" t="s">
        <v>633</v>
      </c>
      <c r="G202" s="1" t="s">
        <v>594</v>
      </c>
      <c r="H202" s="1" t="str">
        <f t="shared" ca="1" si="46"/>
        <v>pause</v>
      </c>
      <c r="I202" s="1" t="str">
        <f ca="1">IF(C202&lt;2,"this",IF(C202=C201,I201,IF(C202&gt;C201,H201, LOOKUP(1,0/(H$2:H201=I201),I$2:I202))))</f>
        <v>this</v>
      </c>
      <c r="J202" s="1" t="str">
        <f t="shared" si="48"/>
        <v>createMovieClipSub</v>
      </c>
      <c r="K202" s="1" t="str">
        <f t="shared" si="47"/>
        <v>pause</v>
      </c>
      <c r="L202" s="1"/>
      <c r="M202" s="1"/>
      <c r="N202" s="1"/>
      <c r="O202" s="1"/>
      <c r="P202" s="14" t="str">
        <f t="shared" ca="1" si="41"/>
        <v>MovieClipSub * pause;</v>
      </c>
      <c r="Q202" s="14" t="str">
        <f t="shared" ca="1" si="42"/>
        <v>pause= this-&gt;createMovieClipSub("pause");</v>
      </c>
    </row>
    <row r="203" spans="1:17" x14ac:dyDescent="0.25">
      <c r="A203" s="6"/>
      <c r="B203" s="4" t="s">
        <v>429</v>
      </c>
      <c r="C203" s="1">
        <f t="shared" ca="1" si="43"/>
        <v>2</v>
      </c>
      <c r="D203" s="1" t="s">
        <v>271</v>
      </c>
      <c r="E203" s="21" t="s">
        <v>633</v>
      </c>
      <c r="F203" s="21" t="s">
        <v>633</v>
      </c>
      <c r="G203" s="1" t="s">
        <v>682</v>
      </c>
      <c r="H203" s="1" t="str">
        <f t="shared" ca="1" si="46"/>
        <v>pausePauseCase</v>
      </c>
      <c r="I203" s="1" t="str">
        <f ca="1">IF(C203&lt;2,"this",IF(C203=C202,I202,IF(C203&gt;C202,H202, LOOKUP(1,0/(H$2:H202=I202),I$2:I203))))</f>
        <v>pause</v>
      </c>
      <c r="J203" s="1" t="str">
        <f t="shared" si="48"/>
        <v>createCase</v>
      </c>
      <c r="K203" s="1" t="str">
        <f t="shared" si="47"/>
        <v>pauseCase</v>
      </c>
      <c r="L203" s="1"/>
      <c r="M203" s="1"/>
      <c r="N203" s="1"/>
      <c r="O203" s="1"/>
      <c r="P203" s="14" t="str">
        <f t="shared" ca="1" si="41"/>
        <v>MCCase * pausePauseCase;</v>
      </c>
      <c r="Q203" s="14" t="str">
        <f t="shared" ca="1" si="42"/>
        <v>pausePauseCase= pause-&gt;createCase("pauseCase");</v>
      </c>
    </row>
    <row r="204" spans="1:17" x14ac:dyDescent="0.25">
      <c r="A204" s="6"/>
      <c r="B204" s="3" t="s">
        <v>430</v>
      </c>
      <c r="C204" s="1">
        <f t="shared" ca="1" si="43"/>
        <v>1</v>
      </c>
      <c r="D204" s="1" t="s">
        <v>271</v>
      </c>
      <c r="E204" s="21" t="s">
        <v>633</v>
      </c>
      <c r="F204" s="21" t="s">
        <v>633</v>
      </c>
      <c r="G204" s="1" t="s">
        <v>594</v>
      </c>
      <c r="H204" s="1" t="str">
        <f t="shared" ca="1" si="46"/>
        <v>selectUnit</v>
      </c>
      <c r="I204" s="1" t="str">
        <f ca="1">IF(C204&lt;2,"this",IF(C204=C203,I203,IF(C204&gt;C203,H203, LOOKUP(1,0/(H$2:H203=I203),I$2:I204))))</f>
        <v>this</v>
      </c>
      <c r="J204" s="1" t="str">
        <f t="shared" si="48"/>
        <v>createMovieClipSub</v>
      </c>
      <c r="K204" s="1" t="str">
        <f t="shared" si="47"/>
        <v>selectUnit</v>
      </c>
      <c r="L204" s="1"/>
      <c r="M204" s="1"/>
      <c r="N204" s="1"/>
      <c r="O204" s="1"/>
      <c r="P204" s="14" t="str">
        <f t="shared" ref="P204:P222" ca="1" si="49">IF(C204&gt;0,G204 &amp; " * "&amp;H204 &amp;";","")</f>
        <v>MovieClipSub * selectUnit;</v>
      </c>
      <c r="Q204" s="14" t="str">
        <f t="shared" ref="Q204:Q222" ca="1" si="50">IF(C204&gt;0,H204&amp;"= "&amp;I204&amp;"-&gt;"&amp;J204&amp;"("""&amp;K204&amp;""")"&amp;";",IF(RIGHT(B204,3)&lt;&gt;"_mc",G204&amp;"("""&amp;D204&amp;""","""&amp;B204&amp;""","""&amp;K204&amp;"""{)",B204&amp;"::"&amp;B204&amp;":"&amp;G204&amp;"("""&amp;D204&amp;""","""&amp;B204&amp;""","""&amp;K204&amp;"""{)"))</f>
        <v>selectUnit= this-&gt;createMovieClipSub("selectUnit");</v>
      </c>
    </row>
    <row r="205" spans="1:17" x14ac:dyDescent="0.25">
      <c r="A205" s="6"/>
      <c r="B205" s="3" t="s">
        <v>431</v>
      </c>
      <c r="C205" s="1">
        <f t="shared" ca="1" si="43"/>
        <v>1</v>
      </c>
      <c r="D205" s="1" t="s">
        <v>271</v>
      </c>
      <c r="E205" s="21" t="s">
        <v>633</v>
      </c>
      <c r="F205" s="21" t="s">
        <v>633</v>
      </c>
      <c r="G205" s="1" t="s">
        <v>594</v>
      </c>
      <c r="H205" s="1" t="str">
        <f t="shared" ca="1" si="46"/>
        <v>sell</v>
      </c>
      <c r="I205" s="1" t="str">
        <f ca="1">IF(C205&lt;2,"this",IF(C205=C204,I204,IF(C205&gt;C204,H204, LOOKUP(1,0/(H$2:H204=I204),I$2:I205))))</f>
        <v>this</v>
      </c>
      <c r="J205" s="1" t="str">
        <f t="shared" si="48"/>
        <v>createMovieClipSub</v>
      </c>
      <c r="K205" s="1" t="str">
        <f t="shared" si="47"/>
        <v>sell</v>
      </c>
      <c r="L205" s="1"/>
      <c r="M205" s="1"/>
      <c r="N205" s="1"/>
      <c r="O205" s="1"/>
      <c r="P205" s="14" t="str">
        <f t="shared" ca="1" si="49"/>
        <v>MovieClipSub * sell;</v>
      </c>
      <c r="Q205" s="14" t="str">
        <f t="shared" ca="1" si="50"/>
        <v>sell= this-&gt;createMovieClipSub("sell");</v>
      </c>
    </row>
    <row r="206" spans="1:17" x14ac:dyDescent="0.25">
      <c r="A206" s="6"/>
      <c r="B206" s="3" t="s">
        <v>432</v>
      </c>
      <c r="C206" s="1">
        <f t="shared" ca="1" si="43"/>
        <v>1</v>
      </c>
      <c r="D206" s="1" t="s">
        <v>271</v>
      </c>
      <c r="E206" s="21" t="s">
        <v>633</v>
      </c>
      <c r="F206" s="21" t="s">
        <v>633</v>
      </c>
      <c r="G206" s="1" t="s">
        <v>594</v>
      </c>
      <c r="H206" s="1" t="str">
        <f t="shared" ca="1" si="46"/>
        <v>slow</v>
      </c>
      <c r="I206" s="1" t="str">
        <f ca="1">IF(C206&lt;2,"this",IF(C206=C205,I205,IF(C206&gt;C205,H205, LOOKUP(1,0/(H$2:H205=I205),I$2:I206))))</f>
        <v>this</v>
      </c>
      <c r="J206" s="1" t="str">
        <f t="shared" si="48"/>
        <v>createMovieClipSub</v>
      </c>
      <c r="K206" s="1" t="str">
        <f t="shared" si="47"/>
        <v>slow</v>
      </c>
      <c r="L206" s="1"/>
      <c r="M206" s="1"/>
      <c r="N206" s="1"/>
      <c r="O206" s="1"/>
      <c r="P206" s="14" t="str">
        <f t="shared" ca="1" si="49"/>
        <v>MovieClipSub * slow;</v>
      </c>
      <c r="Q206" s="14" t="str">
        <f t="shared" ca="1" si="50"/>
        <v>slow= this-&gt;createMovieClipSub("slow");</v>
      </c>
    </row>
    <row r="207" spans="1:17" x14ac:dyDescent="0.25">
      <c r="A207" s="6"/>
      <c r="B207" s="3" t="s">
        <v>613</v>
      </c>
      <c r="C207" s="1">
        <f t="shared" ca="1" si="43"/>
        <v>1</v>
      </c>
      <c r="D207" s="1" t="s">
        <v>271</v>
      </c>
      <c r="E207" s="21" t="s">
        <v>633</v>
      </c>
      <c r="F207" s="21" t="s">
        <v>633</v>
      </c>
      <c r="G207" s="1" t="s">
        <v>594</v>
      </c>
      <c r="H207" s="1" t="str">
        <f t="shared" ca="1" si="46"/>
        <v>startWaves</v>
      </c>
      <c r="I207" s="1" t="str">
        <f ca="1">IF(C207&lt;2,"this",IF(C207=C206,I206,IF(C207&gt;C206,H206, LOOKUP(1,0/(H$2:H206=I206),I$2:I207))))</f>
        <v>this</v>
      </c>
      <c r="J207" s="1" t="str">
        <f t="shared" si="48"/>
        <v>createMovieClipSub</v>
      </c>
      <c r="K207" s="1" t="str">
        <f t="shared" si="47"/>
        <v>startWaves</v>
      </c>
      <c r="L207" s="1"/>
      <c r="M207" s="1"/>
      <c r="N207" s="1"/>
      <c r="O207" s="1"/>
      <c r="P207" s="14" t="str">
        <f t="shared" ca="1" si="49"/>
        <v>MovieClipSub * startWaves;</v>
      </c>
      <c r="Q207" s="14" t="str">
        <f t="shared" ca="1" si="50"/>
        <v>startWaves= this-&gt;createMovieClipSub("startWaves");</v>
      </c>
    </row>
    <row r="208" spans="1:17" x14ac:dyDescent="0.25">
      <c r="A208" s="6"/>
      <c r="B208" s="4" t="s">
        <v>433</v>
      </c>
      <c r="C208" s="1">
        <f t="shared" ca="1" si="43"/>
        <v>2</v>
      </c>
      <c r="D208" s="1" t="s">
        <v>271</v>
      </c>
      <c r="E208" s="21" t="s">
        <v>633</v>
      </c>
      <c r="F208" s="21" t="s">
        <v>633</v>
      </c>
      <c r="G208" s="1" t="s">
        <v>682</v>
      </c>
      <c r="H208" s="1" t="str">
        <f t="shared" ca="1" si="46"/>
        <v>startWavesStartWavesCase</v>
      </c>
      <c r="I208" s="1" t="str">
        <f ca="1">IF(C208&lt;2,"this",IF(C208=C207,I207,IF(C208&gt;C207,H207, LOOKUP(1,0/(H$2:H207=I207),I$2:I208))))</f>
        <v>startWaves</v>
      </c>
      <c r="J208" s="1" t="str">
        <f t="shared" si="48"/>
        <v>createCase</v>
      </c>
      <c r="K208" s="1" t="str">
        <f t="shared" si="47"/>
        <v>startWavesCase</v>
      </c>
      <c r="L208" s="1"/>
      <c r="M208" s="1"/>
      <c r="N208" s="1"/>
      <c r="O208" s="1"/>
      <c r="P208" s="14" t="str">
        <f t="shared" ca="1" si="49"/>
        <v>MCCase * startWavesStartWavesCase;</v>
      </c>
      <c r="Q208" s="14" t="str">
        <f t="shared" ca="1" si="50"/>
        <v>startWavesStartWavesCase= startWaves-&gt;createCase("startWavesCase");</v>
      </c>
    </row>
    <row r="209" spans="1:17" x14ac:dyDescent="0.25">
      <c r="A209" s="6"/>
      <c r="B209" s="3" t="s">
        <v>614</v>
      </c>
      <c r="C209" s="1">
        <f t="shared" ca="1" si="43"/>
        <v>1</v>
      </c>
      <c r="D209" s="1" t="s">
        <v>271</v>
      </c>
      <c r="E209" s="21" t="s">
        <v>633</v>
      </c>
      <c r="F209" s="21" t="s">
        <v>633</v>
      </c>
      <c r="G209" s="1" t="s">
        <v>594</v>
      </c>
      <c r="H209" s="1" t="str">
        <f t="shared" ca="1" si="46"/>
        <v>stoneBack</v>
      </c>
      <c r="I209" s="1" t="str">
        <f ca="1">IF(C209&lt;2,"this",IF(C209=C208,I208,IF(C209&gt;C208,H208, LOOKUP(1,0/(H$2:H208=I208),I$2:I209))))</f>
        <v>this</v>
      </c>
      <c r="J209" s="1" t="str">
        <f t="shared" si="48"/>
        <v>createMovieClipSub</v>
      </c>
      <c r="K209" s="1" t="str">
        <f t="shared" si="47"/>
        <v>stoneBack</v>
      </c>
      <c r="L209" s="1"/>
      <c r="M209" s="1"/>
      <c r="N209" s="1"/>
      <c r="O209" s="1"/>
      <c r="P209" s="14" t="str">
        <f t="shared" ca="1" si="49"/>
        <v>MovieClipSub * stoneBack;</v>
      </c>
      <c r="Q209" s="14" t="str">
        <f t="shared" ca="1" si="50"/>
        <v>stoneBack= this-&gt;createMovieClipSub("stoneBack");</v>
      </c>
    </row>
    <row r="210" spans="1:17" x14ac:dyDescent="0.25">
      <c r="A210" s="6"/>
      <c r="B210" s="4" t="s">
        <v>435</v>
      </c>
      <c r="C210" s="1">
        <f t="shared" ca="1" si="43"/>
        <v>2</v>
      </c>
      <c r="D210" s="1" t="s">
        <v>271</v>
      </c>
      <c r="E210" s="21" t="s">
        <v>633</v>
      </c>
      <c r="F210" s="21" t="s">
        <v>633</v>
      </c>
      <c r="G210" s="1" t="s">
        <v>594</v>
      </c>
      <c r="H210" s="1" t="str">
        <f t="shared" ca="1" si="46"/>
        <v>stoneBackCont</v>
      </c>
      <c r="I210" s="1" t="str">
        <f ca="1">IF(C210&lt;2,"this",IF(C210=C209,I209,IF(C210&gt;C209,H209, LOOKUP(1,0/(H$2:H209=I209),I$2:I210))))</f>
        <v>stoneBack</v>
      </c>
      <c r="J210" s="1" t="str">
        <f t="shared" si="48"/>
        <v>createMovieClipSub</v>
      </c>
      <c r="K210" s="1" t="str">
        <f t="shared" si="47"/>
        <v>cont</v>
      </c>
      <c r="L210" s="1"/>
      <c r="M210" s="1"/>
      <c r="N210" s="1"/>
      <c r="O210" s="1"/>
      <c r="P210" s="14" t="str">
        <f t="shared" ca="1" si="49"/>
        <v>MovieClipSub * stoneBackCont;</v>
      </c>
      <c r="Q210" s="14" t="str">
        <f t="shared" ca="1" si="50"/>
        <v>stoneBackCont= stoneBack-&gt;createMovieClipSub("cont");</v>
      </c>
    </row>
    <row r="211" spans="1:17" x14ac:dyDescent="0.25">
      <c r="A211" s="6"/>
      <c r="B211" s="3" t="s">
        <v>434</v>
      </c>
      <c r="C211" s="1">
        <f t="shared" ca="1" si="43"/>
        <v>1</v>
      </c>
      <c r="D211" s="1" t="s">
        <v>271</v>
      </c>
      <c r="E211" s="21" t="s">
        <v>633</v>
      </c>
      <c r="F211" s="21" t="s">
        <v>633</v>
      </c>
      <c r="G211" s="1" t="s">
        <v>594</v>
      </c>
      <c r="H211" s="1" t="str">
        <f t="shared" ca="1" si="46"/>
        <v>stoneBacklight</v>
      </c>
      <c r="I211" s="1" t="str">
        <f ca="1">IF(C211&lt;2,"this",IF(C211=C210,I210,IF(C211&gt;C210,H210, LOOKUP(1,0/(H$2:H210=I210),I$2:I211))))</f>
        <v>this</v>
      </c>
      <c r="J211" s="1" t="str">
        <f t="shared" si="48"/>
        <v>createMovieClipSub</v>
      </c>
      <c r="K211" s="1" t="str">
        <f t="shared" si="47"/>
        <v>stoneBacklight</v>
      </c>
      <c r="L211" s="1"/>
      <c r="M211" s="1"/>
      <c r="N211" s="1"/>
      <c r="O211" s="1"/>
      <c r="P211" s="14" t="str">
        <f t="shared" ca="1" si="49"/>
        <v>MovieClipSub * stoneBacklight;</v>
      </c>
      <c r="Q211" s="14" t="str">
        <f t="shared" ca="1" si="50"/>
        <v>stoneBacklight= this-&gt;createMovieClipSub("stoneBacklight");</v>
      </c>
    </row>
    <row r="212" spans="1:17" x14ac:dyDescent="0.25">
      <c r="A212" s="6"/>
      <c r="B212" s="3" t="s">
        <v>436</v>
      </c>
      <c r="C212" s="1">
        <f t="shared" ca="1" si="43"/>
        <v>1</v>
      </c>
      <c r="D212" s="1" t="s">
        <v>271</v>
      </c>
      <c r="E212" s="21" t="s">
        <v>633</v>
      </c>
      <c r="F212" s="21" t="s">
        <v>633</v>
      </c>
      <c r="G212" s="1" t="s">
        <v>684</v>
      </c>
      <c r="H212" s="1" t="str">
        <f t="shared" ca="1" si="46"/>
        <v>stoneNumTXT</v>
      </c>
      <c r="I212" s="1" t="str">
        <f ca="1">IF(C212&lt;2,"this",IF(C212=C211,I211,IF(C212&gt;C211,H211, LOOKUP(1,0/(H$2:H211=I211),I$2:I212))))</f>
        <v>this</v>
      </c>
      <c r="J212" s="1" t="str">
        <f t="shared" si="48"/>
        <v>createText</v>
      </c>
      <c r="K212" s="1" t="str">
        <f t="shared" si="47"/>
        <v>stoneNumTXT</v>
      </c>
      <c r="L212" s="1"/>
      <c r="M212" s="1"/>
      <c r="N212" s="1"/>
      <c r="O212" s="1"/>
      <c r="P212" s="14" t="str">
        <f t="shared" ca="1" si="49"/>
        <v>MCText * stoneNumTXT;</v>
      </c>
      <c r="Q212" s="14" t="str">
        <f t="shared" ca="1" si="50"/>
        <v>stoneNumTXT= this-&gt;createText("stoneNumTXT");</v>
      </c>
    </row>
    <row r="213" spans="1:17" x14ac:dyDescent="0.25">
      <c r="A213" s="6"/>
      <c r="B213" s="3" t="s">
        <v>593</v>
      </c>
      <c r="C213" s="1">
        <f t="shared" ref="C213:C222" ca="1" si="51">indent(B213)</f>
        <v>1</v>
      </c>
      <c r="D213" s="1" t="s">
        <v>271</v>
      </c>
      <c r="E213" s="21" t="s">
        <v>633</v>
      </c>
      <c r="F213" s="21" t="s">
        <v>633</v>
      </c>
      <c r="G213" s="1" t="s">
        <v>594</v>
      </c>
      <c r="H213" s="1" t="str">
        <f t="shared" ca="1" si="46"/>
        <v>stoneSphere</v>
      </c>
      <c r="I213" s="1" t="str">
        <f ca="1">IF(C213&lt;2,"this",IF(C213=C212,I212,IF(C213&gt;C212,H212, LOOKUP(1,0/(H$2:H212=I212),I$2:I213))))</f>
        <v>this</v>
      </c>
      <c r="J213" s="1" t="str">
        <f t="shared" si="48"/>
        <v>createMovieClipSub</v>
      </c>
      <c r="K213" s="1" t="str">
        <f t="shared" si="47"/>
        <v>stoneSphere</v>
      </c>
      <c r="L213" s="1"/>
      <c r="M213" s="1"/>
      <c r="N213" s="1"/>
      <c r="O213" s="1"/>
      <c r="P213" s="14" t="str">
        <f t="shared" ca="1" si="49"/>
        <v>MovieClipSub * stoneSphere;</v>
      </c>
      <c r="Q213" s="14" t="str">
        <f t="shared" ca="1" si="50"/>
        <v>stoneSphere= this-&gt;createMovieClipSub("stoneSphere");</v>
      </c>
    </row>
    <row r="214" spans="1:17" x14ac:dyDescent="0.25">
      <c r="A214" s="6"/>
      <c r="B214" s="4" t="s">
        <v>421</v>
      </c>
      <c r="C214" s="1">
        <f t="shared" ca="1" si="51"/>
        <v>2</v>
      </c>
      <c r="D214" s="1" t="s">
        <v>271</v>
      </c>
      <c r="E214" s="21" t="s">
        <v>633</v>
      </c>
      <c r="F214" s="21" t="s">
        <v>633</v>
      </c>
      <c r="G214" s="1" t="s">
        <v>682</v>
      </c>
      <c r="H214" s="1" t="str">
        <f t="shared" ca="1" si="46"/>
        <v>stoneSphereSphereCase</v>
      </c>
      <c r="I214" s="1" t="str">
        <f ca="1">IF(C214&lt;2,"this",IF(C214=C213,I213,IF(C214&gt;C213,H213, LOOKUP(1,0/(H$2:H213=I213),I$2:I214))))</f>
        <v>stoneSphere</v>
      </c>
      <c r="J214" s="1" t="str">
        <f t="shared" si="48"/>
        <v>createCase</v>
      </c>
      <c r="K214" s="1" t="str">
        <f t="shared" si="47"/>
        <v>sphereCase</v>
      </c>
      <c r="L214" s="1"/>
      <c r="M214" s="1"/>
      <c r="N214" s="1"/>
      <c r="O214" s="1"/>
      <c r="P214" s="14" t="str">
        <f t="shared" ca="1" si="49"/>
        <v>MCCase * stoneSphereSphereCase;</v>
      </c>
      <c r="Q214" s="14" t="str">
        <f t="shared" ca="1" si="50"/>
        <v>stoneSphereSphereCase= stoneSphere-&gt;createCase("sphereCase");</v>
      </c>
    </row>
    <row r="215" spans="1:17" x14ac:dyDescent="0.25">
      <c r="A215" s="6"/>
      <c r="B215" s="3" t="s">
        <v>591</v>
      </c>
      <c r="C215" s="1">
        <f t="shared" ca="1" si="51"/>
        <v>1</v>
      </c>
      <c r="D215" s="1" t="s">
        <v>271</v>
      </c>
      <c r="E215" s="21" t="s">
        <v>633</v>
      </c>
      <c r="F215" s="21" t="s">
        <v>633</v>
      </c>
      <c r="G215" s="1" t="s">
        <v>594</v>
      </c>
      <c r="H215" s="1" t="str">
        <f t="shared" ca="1" si="46"/>
        <v>testRestart</v>
      </c>
      <c r="I215" s="1" t="str">
        <f ca="1">IF(C215&lt;2,"this",IF(C215=C214,I214,IF(C215&gt;C214,H214, LOOKUP(1,0/(H$2:H214=I214),I$2:I215))))</f>
        <v>this</v>
      </c>
      <c r="J215" s="1" t="str">
        <f t="shared" si="48"/>
        <v>createMovieClipSub</v>
      </c>
      <c r="K215" s="1" t="str">
        <f t="shared" si="47"/>
        <v>testRestart</v>
      </c>
      <c r="L215" s="1"/>
      <c r="M215" s="1"/>
      <c r="N215" s="1"/>
      <c r="O215" s="1"/>
      <c r="P215" s="14" t="str">
        <f t="shared" ca="1" si="49"/>
        <v>MovieClipSub * testRestart;</v>
      </c>
      <c r="Q215" s="14" t="str">
        <f t="shared" ca="1" si="50"/>
        <v>testRestart= this-&gt;createMovieClipSub("testRestart");</v>
      </c>
    </row>
    <row r="216" spans="1:17" x14ac:dyDescent="0.25">
      <c r="A216" s="6"/>
      <c r="B216" s="3" t="s">
        <v>590</v>
      </c>
      <c r="C216" s="1">
        <f t="shared" ca="1" si="51"/>
        <v>1</v>
      </c>
      <c r="D216" s="1" t="s">
        <v>271</v>
      </c>
      <c r="E216" s="21" t="s">
        <v>633</v>
      </c>
      <c r="F216" s="21" t="s">
        <v>633</v>
      </c>
      <c r="G216" s="1" t="s">
        <v>594</v>
      </c>
      <c r="H216" s="1" t="str">
        <f t="shared" ca="1" si="46"/>
        <v>testRestartBoard</v>
      </c>
      <c r="I216" s="1" t="str">
        <f ca="1">IF(C216&lt;2,"this",IF(C216=C215,I215,IF(C216&gt;C215,H215, LOOKUP(1,0/(H$2:H215=I215),I$2:I216))))</f>
        <v>this</v>
      </c>
      <c r="J216" s="1" t="str">
        <f t="shared" si="48"/>
        <v>createMovieClipSub</v>
      </c>
      <c r="K216" s="1" t="str">
        <f t="shared" si="47"/>
        <v>testRestartBoard</v>
      </c>
      <c r="L216" s="1"/>
      <c r="M216" s="1"/>
      <c r="N216" s="1"/>
      <c r="O216" s="1"/>
      <c r="P216" s="14" t="str">
        <f t="shared" ca="1" si="49"/>
        <v>MovieClipSub * testRestartBoard;</v>
      </c>
      <c r="Q216" s="14" t="str">
        <f t="shared" ca="1" si="50"/>
        <v>testRestartBoard= this-&gt;createMovieClipSub("testRestartBoard");</v>
      </c>
    </row>
    <row r="217" spans="1:17" x14ac:dyDescent="0.25">
      <c r="A217" s="6"/>
      <c r="B217" s="4" t="s">
        <v>437</v>
      </c>
      <c r="C217" s="1">
        <f t="shared" ca="1" si="51"/>
        <v>2</v>
      </c>
      <c r="D217" s="1" t="s">
        <v>271</v>
      </c>
      <c r="E217" s="21" t="s">
        <v>633</v>
      </c>
      <c r="F217" s="21" t="s">
        <v>633</v>
      </c>
      <c r="G217" s="1" t="s">
        <v>684</v>
      </c>
      <c r="H217" s="1" t="str">
        <f t="shared" ca="1" si="46"/>
        <v>testRestartBoardWaveTXT</v>
      </c>
      <c r="I217" s="1" t="str">
        <f ca="1">IF(C217&lt;2,"this",IF(C217=C216,I216,IF(C217&gt;C216,H216, LOOKUP(1,0/(H$2:H216=I216),I$2:I217))))</f>
        <v>testRestartBoard</v>
      </c>
      <c r="J217" s="1" t="str">
        <f t="shared" si="48"/>
        <v>createText</v>
      </c>
      <c r="K217" s="1" t="str">
        <f t="shared" si="47"/>
        <v>waveTXT</v>
      </c>
      <c r="L217" s="1"/>
      <c r="M217" s="1"/>
      <c r="N217" s="1"/>
      <c r="O217" s="1"/>
      <c r="P217" s="14" t="str">
        <f t="shared" ca="1" si="49"/>
        <v>MCText * testRestartBoardWaveTXT;</v>
      </c>
      <c r="Q217" s="14" t="str">
        <f t="shared" ca="1" si="50"/>
        <v>testRestartBoardWaveTXT= testRestartBoard-&gt;createText("waveTXT");</v>
      </c>
    </row>
    <row r="218" spans="1:17" x14ac:dyDescent="0.25">
      <c r="A218" s="6"/>
      <c r="B218" s="3" t="s">
        <v>437</v>
      </c>
      <c r="C218" s="1">
        <f t="shared" ca="1" si="51"/>
        <v>1</v>
      </c>
      <c r="D218" s="1" t="s">
        <v>271</v>
      </c>
      <c r="E218" s="21" t="s">
        <v>633</v>
      </c>
      <c r="F218" s="21" t="s">
        <v>633</v>
      </c>
      <c r="G218" s="1" t="s">
        <v>684</v>
      </c>
      <c r="H218" s="1" t="str">
        <f t="shared" ca="1" si="46"/>
        <v>waveTXT</v>
      </c>
      <c r="I218" s="1" t="str">
        <f ca="1">IF(C218&lt;2,"this",IF(C218=C217,I217,IF(C218&gt;C217,H217, LOOKUP(1,0/(H$2:H217=I217),I$2:I218))))</f>
        <v>this</v>
      </c>
      <c r="J218" s="1" t="str">
        <f t="shared" si="48"/>
        <v>createText</v>
      </c>
      <c r="K218" s="1" t="str">
        <f t="shared" si="47"/>
        <v>waveTXT</v>
      </c>
      <c r="L218" s="1"/>
      <c r="M218" s="1"/>
      <c r="N218" s="1"/>
      <c r="O218" s="1"/>
      <c r="P218" s="14" t="str">
        <f t="shared" ca="1" si="49"/>
        <v>MCText * waveTXT;</v>
      </c>
      <c r="Q218" s="14" t="str">
        <f t="shared" ca="1" si="50"/>
        <v>waveTXT= this-&gt;createText("waveTXT");</v>
      </c>
    </row>
    <row r="219" spans="1:17" x14ac:dyDescent="0.25">
      <c r="A219" s="6"/>
      <c r="B219" s="1" t="s">
        <v>440</v>
      </c>
      <c r="C219" s="1">
        <f t="shared" ca="1" si="51"/>
        <v>0</v>
      </c>
      <c r="D219" s="1" t="s">
        <v>271</v>
      </c>
      <c r="E219" s="1" t="s">
        <v>632</v>
      </c>
      <c r="F219" s="1" t="s">
        <v>633</v>
      </c>
      <c r="G219" s="1" t="s">
        <v>631</v>
      </c>
      <c r="H219" s="1" t="str">
        <f t="shared" ca="1" si="46"/>
        <v>GetAchieve_mc</v>
      </c>
      <c r="I219" s="1" t="str">
        <f ca="1">IF(C219&lt;2,"this",IF(C219=C218,I218,IF(C219&gt;C218,H218, LOOKUP(1,0/(H$2:H218=I218),I$2:I219))))</f>
        <v>this</v>
      </c>
      <c r="J219" s="1" t="str">
        <f t="shared" si="48"/>
        <v>createMovieClip</v>
      </c>
      <c r="K219" s="1" t="str">
        <f t="shared" si="47"/>
        <v>GetAchieve_mc</v>
      </c>
      <c r="L219" s="1"/>
      <c r="M219" s="1"/>
      <c r="N219" s="1"/>
      <c r="O219" s="1"/>
      <c r="P219" s="14" t="str">
        <f t="shared" ca="1" si="49"/>
        <v/>
      </c>
      <c r="Q219" s="14" t="str">
        <f t="shared" ca="1" si="50"/>
        <v>GetAchieve_mc::GetAchieve_mc:MovieClip("worldinterface","GetAchieve_mc","GetAchieve_mc"{)</v>
      </c>
    </row>
    <row r="220" spans="1:17" x14ac:dyDescent="0.25">
      <c r="A220" s="6"/>
      <c r="B220" s="3" t="s">
        <v>439</v>
      </c>
      <c r="C220" s="1">
        <f t="shared" ca="1" si="51"/>
        <v>1</v>
      </c>
      <c r="D220" s="1" t="s">
        <v>271</v>
      </c>
      <c r="E220" s="1" t="s">
        <v>632</v>
      </c>
      <c r="F220" s="1" t="s">
        <v>633</v>
      </c>
      <c r="G220" s="1" t="s">
        <v>594</v>
      </c>
      <c r="H220" s="1" t="str">
        <f t="shared" ca="1" si="46"/>
        <v>icon</v>
      </c>
      <c r="I220" s="1" t="str">
        <f ca="1">IF(C220&lt;2,"this",IF(C220=C219,I219,IF(C220&gt;C219,H219, LOOKUP(1,0/(H$2:H219=I219),I$2:I220))))</f>
        <v>this</v>
      </c>
      <c r="J220" s="1" t="str">
        <f t="shared" si="48"/>
        <v>createMovieClipSub</v>
      </c>
      <c r="K220" s="1" t="str">
        <f t="shared" si="47"/>
        <v>icon</v>
      </c>
      <c r="L220" s="1"/>
      <c r="M220" s="1"/>
      <c r="N220" s="1"/>
      <c r="O220" s="1"/>
      <c r="P220" s="14" t="str">
        <f t="shared" ca="1" si="49"/>
        <v>MovieClipSub * icon;</v>
      </c>
      <c r="Q220" s="14" t="str">
        <f t="shared" ca="1" si="50"/>
        <v>icon= this-&gt;createMovieClipSub("icon");</v>
      </c>
    </row>
    <row r="221" spans="1:17" x14ac:dyDescent="0.25">
      <c r="A221" s="6"/>
      <c r="B221" s="3" t="s">
        <v>346</v>
      </c>
      <c r="C221" s="1">
        <f t="shared" ca="1" si="51"/>
        <v>1</v>
      </c>
      <c r="D221" s="1" t="s">
        <v>271</v>
      </c>
      <c r="E221" s="1" t="s">
        <v>632</v>
      </c>
      <c r="F221" s="1" t="s">
        <v>633</v>
      </c>
      <c r="G221" s="1" t="s">
        <v>594</v>
      </c>
      <c r="H221" s="1" t="str">
        <f t="shared" ref="H221:H222" ca="1" si="52">IF(OR(I221="this",LEN(I221)&lt;2),B221,CONCATENATE(I221, UPPER(LEFT(B221,1)) &amp; RIGHT(B221,LEN(B221)-1) ))</f>
        <v>board</v>
      </c>
      <c r="I221" s="1" t="str">
        <f ca="1">IF(C221&lt;2,"this",IF(C221=C220,I220,IF(C221&gt;C220,H220, LOOKUP(1,0/(H$2:H220=I220),I$2:I221))))</f>
        <v>this</v>
      </c>
      <c r="J221" s="1" t="str">
        <f t="shared" si="48"/>
        <v>createMovieClipSub</v>
      </c>
      <c r="K221" s="1" t="str">
        <f t="shared" si="47"/>
        <v>board</v>
      </c>
      <c r="L221" s="1"/>
      <c r="M221" s="1"/>
      <c r="N221" s="1"/>
      <c r="O221" s="1"/>
      <c r="P221" s="14" t="str">
        <f t="shared" ca="1" si="49"/>
        <v>MovieClipSub * board;</v>
      </c>
      <c r="Q221" s="14" t="str">
        <f t="shared" ca="1" si="50"/>
        <v>board= this-&gt;createMovieClipSub("board");</v>
      </c>
    </row>
    <row r="222" spans="1:17" x14ac:dyDescent="0.25">
      <c r="A222" s="6"/>
      <c r="B222" s="4" t="s">
        <v>162</v>
      </c>
      <c r="C222" s="1">
        <f t="shared" ca="1" si="51"/>
        <v>2</v>
      </c>
      <c r="D222" s="1" t="s">
        <v>271</v>
      </c>
      <c r="E222" s="1" t="s">
        <v>632</v>
      </c>
      <c r="F222" s="1" t="s">
        <v>633</v>
      </c>
      <c r="G222" s="1" t="s">
        <v>685</v>
      </c>
      <c r="H222" s="1" t="str">
        <f t="shared" ca="1" si="52"/>
        <v>boardNoteTXT</v>
      </c>
      <c r="I222" s="1" t="str">
        <f ca="1">IF(C222&lt;2,"this",IF(C222=C221,I221,IF(C222&gt;C221,H221, LOOKUP(1,0/(H$2:H221=I221),I$2:I222))))</f>
        <v>board</v>
      </c>
      <c r="J222" s="1" t="str">
        <f t="shared" si="48"/>
        <v>createText</v>
      </c>
      <c r="K222" s="1" t="str">
        <f t="shared" si="47"/>
        <v>noteTXT</v>
      </c>
      <c r="L222" s="1"/>
      <c r="M222" s="1"/>
      <c r="N222" s="1"/>
      <c r="O222" s="1"/>
      <c r="P222" s="14" t="str">
        <f t="shared" ca="1" si="49"/>
        <v>MCText * boardNoteTXT;</v>
      </c>
      <c r="Q222" s="14" t="str">
        <f t="shared" ca="1" si="50"/>
        <v>boardNoteTXT= board-&gt;createText("noteTXT");</v>
      </c>
    </row>
    <row r="223" spans="1:17" x14ac:dyDescent="0.25">
      <c r="A223" s="28"/>
    </row>
  </sheetData>
  <mergeCells count="3">
    <mergeCell ref="A80:A87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55</v>
      </c>
      <c r="C1" s="2" t="s">
        <v>628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617</v>
      </c>
      <c r="I1" s="2" t="s">
        <v>597</v>
      </c>
      <c r="J1" s="2" t="s">
        <v>618</v>
      </c>
      <c r="K1" s="2" t="s">
        <v>627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x14ac:dyDescent="0.25">
      <c r="A2" s="1" t="s">
        <v>338</v>
      </c>
      <c r="B2" s="1" t="s">
        <v>337</v>
      </c>
      <c r="C2" s="1">
        <f ca="1">indent(B2)</f>
        <v>0</v>
      </c>
      <c r="D2" s="1" t="s">
        <v>324</v>
      </c>
      <c r="E2" s="1" t="s">
        <v>722</v>
      </c>
      <c r="F2" s="1" t="s">
        <v>719</v>
      </c>
      <c r="G2" s="21" t="s">
        <v>595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338</v>
      </c>
      <c r="B3" s="3" t="s">
        <v>339</v>
      </c>
      <c r="C3" s="1">
        <f t="shared" ref="C3:C66" ca="1" si="1">indent(B3)</f>
        <v>1</v>
      </c>
      <c r="D3" s="1" t="s">
        <v>324</v>
      </c>
      <c r="E3" s="1" t="s">
        <v>722</v>
      </c>
      <c r="F3" s="1" t="s">
        <v>719</v>
      </c>
      <c r="G3" s="1" t="s">
        <v>594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338</v>
      </c>
      <c r="B4" s="3" t="s">
        <v>340</v>
      </c>
      <c r="C4" s="1">
        <f t="shared" ca="1" si="1"/>
        <v>1</v>
      </c>
      <c r="D4" s="1" t="s">
        <v>324</v>
      </c>
      <c r="E4" s="1" t="s">
        <v>722</v>
      </c>
      <c r="F4" s="1" t="s">
        <v>719</v>
      </c>
      <c r="G4" s="1" t="s">
        <v>594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338</v>
      </c>
      <c r="B5" s="3" t="s">
        <v>341</v>
      </c>
      <c r="C5" s="1">
        <f t="shared" ca="1" si="1"/>
        <v>1</v>
      </c>
      <c r="D5" s="1" t="s">
        <v>324</v>
      </c>
      <c r="E5" s="1" t="s">
        <v>722</v>
      </c>
      <c r="F5" s="1" t="s">
        <v>719</v>
      </c>
      <c r="G5" s="1" t="s">
        <v>594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338</v>
      </c>
      <c r="B6" s="3" t="s">
        <v>342</v>
      </c>
      <c r="C6" s="1">
        <f t="shared" ca="1" si="1"/>
        <v>1</v>
      </c>
      <c r="D6" s="1" t="s">
        <v>324</v>
      </c>
      <c r="E6" s="1" t="s">
        <v>722</v>
      </c>
      <c r="F6" s="1" t="s">
        <v>719</v>
      </c>
      <c r="G6" s="1" t="s">
        <v>594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338</v>
      </c>
      <c r="B7" s="1" t="s">
        <v>728</v>
      </c>
      <c r="C7" s="1">
        <f t="shared" ca="1" si="1"/>
        <v>0</v>
      </c>
      <c r="D7" s="1" t="s">
        <v>324</v>
      </c>
      <c r="E7" s="1" t="s">
        <v>722</v>
      </c>
      <c r="F7" s="1" t="s">
        <v>719</v>
      </c>
      <c r="G7" s="21" t="s">
        <v>595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270</v>
      </c>
      <c r="B8" s="1" t="s">
        <v>269</v>
      </c>
      <c r="C8" s="1">
        <f t="shared" ca="1" si="1"/>
        <v>0</v>
      </c>
      <c r="D8" s="1" t="s">
        <v>324</v>
      </c>
      <c r="E8" s="1"/>
      <c r="F8" s="1"/>
      <c r="G8" s="21" t="s">
        <v>595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270</v>
      </c>
      <c r="B9" s="3" t="s">
        <v>300</v>
      </c>
      <c r="C9" s="1">
        <f t="shared" ca="1" si="1"/>
        <v>1</v>
      </c>
      <c r="D9" s="1" t="s">
        <v>324</v>
      </c>
      <c r="E9" s="1"/>
      <c r="F9" s="1"/>
      <c r="G9" s="1" t="s">
        <v>626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270</v>
      </c>
      <c r="B10" s="4" t="s">
        <v>330</v>
      </c>
      <c r="C10" s="1">
        <f t="shared" ca="1" si="1"/>
        <v>2</v>
      </c>
      <c r="D10" s="1" t="s">
        <v>324</v>
      </c>
      <c r="E10" s="1"/>
      <c r="F10" s="1"/>
      <c r="G10" s="1" t="s">
        <v>682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270</v>
      </c>
      <c r="B11" s="4" t="s">
        <v>331</v>
      </c>
      <c r="C11" s="1">
        <f t="shared" ca="1" si="1"/>
        <v>2</v>
      </c>
      <c r="D11" s="1" t="s">
        <v>324</v>
      </c>
      <c r="E11" s="1"/>
      <c r="F11" s="1"/>
      <c r="G11" s="1" t="s">
        <v>682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270</v>
      </c>
      <c r="B12" s="3" t="s">
        <v>301</v>
      </c>
      <c r="C12" s="1">
        <f t="shared" ca="1" si="1"/>
        <v>1</v>
      </c>
      <c r="D12" s="1" t="s">
        <v>324</v>
      </c>
      <c r="E12" s="1"/>
      <c r="F12" s="1"/>
      <c r="G12" s="1" t="s">
        <v>594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270</v>
      </c>
      <c r="B13" s="4" t="s">
        <v>326</v>
      </c>
      <c r="C13" s="1">
        <f t="shared" ca="1" si="1"/>
        <v>2</v>
      </c>
      <c r="D13" s="1" t="s">
        <v>324</v>
      </c>
      <c r="E13" s="1"/>
      <c r="F13" s="1"/>
      <c r="G13" s="1" t="s">
        <v>683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270</v>
      </c>
      <c r="B14" s="3" t="s">
        <v>302</v>
      </c>
      <c r="C14" s="1">
        <f t="shared" ca="1" si="1"/>
        <v>1</v>
      </c>
      <c r="D14" s="1" t="s">
        <v>324</v>
      </c>
      <c r="E14" s="1"/>
      <c r="F14" s="1"/>
      <c r="G14" s="1" t="s">
        <v>594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270</v>
      </c>
      <c r="B15" s="4" t="s">
        <v>328</v>
      </c>
      <c r="C15" s="1">
        <f t="shared" ca="1" si="1"/>
        <v>2</v>
      </c>
      <c r="D15" s="1" t="s">
        <v>324</v>
      </c>
      <c r="E15" s="1"/>
      <c r="F15" s="1"/>
      <c r="G15" s="1" t="s">
        <v>682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270</v>
      </c>
      <c r="B16" s="4" t="s">
        <v>329</v>
      </c>
      <c r="C16" s="1">
        <f t="shared" ca="1" si="1"/>
        <v>2</v>
      </c>
      <c r="D16" s="1" t="s">
        <v>324</v>
      </c>
      <c r="E16" s="1"/>
      <c r="F16" s="1"/>
      <c r="G16" s="1" t="s">
        <v>682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270</v>
      </c>
      <c r="B17" s="3" t="s">
        <v>303</v>
      </c>
      <c r="C17" s="1">
        <f t="shared" ca="1" si="1"/>
        <v>1</v>
      </c>
      <c r="D17" s="1" t="s">
        <v>324</v>
      </c>
      <c r="E17" s="1"/>
      <c r="F17" s="1"/>
      <c r="G17" s="1" t="s">
        <v>594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270</v>
      </c>
      <c r="B18" s="4" t="s">
        <v>332</v>
      </c>
      <c r="C18" s="1">
        <f t="shared" ca="1" si="1"/>
        <v>2</v>
      </c>
      <c r="D18" s="1" t="s">
        <v>324</v>
      </c>
      <c r="E18" s="1"/>
      <c r="F18" s="1"/>
      <c r="G18" s="1" t="s">
        <v>682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270</v>
      </c>
      <c r="B19" s="3" t="s">
        <v>304</v>
      </c>
      <c r="C19" s="1">
        <f t="shared" ca="1" si="1"/>
        <v>1</v>
      </c>
      <c r="D19" s="1" t="s">
        <v>324</v>
      </c>
      <c r="E19" s="1"/>
      <c r="F19" s="1"/>
      <c r="G19" s="1" t="s">
        <v>594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270</v>
      </c>
      <c r="B20" s="4" t="s">
        <v>333</v>
      </c>
      <c r="C20" s="1">
        <f t="shared" ca="1" si="1"/>
        <v>2</v>
      </c>
      <c r="D20" s="1" t="s">
        <v>324</v>
      </c>
      <c r="E20" s="1"/>
      <c r="F20" s="1"/>
      <c r="G20" s="1" t="s">
        <v>682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270</v>
      </c>
      <c r="B21" s="3" t="s">
        <v>305</v>
      </c>
      <c r="C21" s="1">
        <f t="shared" ca="1" si="1"/>
        <v>1</v>
      </c>
      <c r="D21" s="1" t="s">
        <v>324</v>
      </c>
      <c r="E21" s="1"/>
      <c r="F21" s="1"/>
      <c r="G21" s="1" t="s">
        <v>594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270</v>
      </c>
      <c r="B22" s="4" t="s">
        <v>84</v>
      </c>
      <c r="C22" s="1">
        <f t="shared" ca="1" si="1"/>
        <v>2</v>
      </c>
      <c r="D22" s="1" t="s">
        <v>324</v>
      </c>
      <c r="E22" s="1"/>
      <c r="F22" s="1"/>
      <c r="G22" s="1" t="s">
        <v>594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270</v>
      </c>
      <c r="B23" s="3" t="s">
        <v>335</v>
      </c>
      <c r="C23" s="1">
        <f t="shared" ca="1" si="1"/>
        <v>1</v>
      </c>
      <c r="D23" s="1" t="s">
        <v>324</v>
      </c>
      <c r="E23" s="1"/>
      <c r="F23" s="1"/>
      <c r="G23" s="1" t="s">
        <v>594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270</v>
      </c>
      <c r="B24" s="4" t="s">
        <v>336</v>
      </c>
      <c r="C24" s="1">
        <f t="shared" ca="1" si="1"/>
        <v>2</v>
      </c>
      <c r="D24" s="1" t="s">
        <v>324</v>
      </c>
      <c r="E24" s="1"/>
      <c r="F24" s="1"/>
      <c r="G24" s="1" t="s">
        <v>682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270</v>
      </c>
      <c r="B25" s="3" t="s">
        <v>312</v>
      </c>
      <c r="C25" s="1">
        <f t="shared" ca="1" si="1"/>
        <v>1</v>
      </c>
      <c r="D25" s="1" t="s">
        <v>324</v>
      </c>
      <c r="E25" s="1"/>
      <c r="F25" s="1"/>
      <c r="G25" s="1" t="s">
        <v>594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270</v>
      </c>
      <c r="B26" s="4" t="s">
        <v>336</v>
      </c>
      <c r="C26" s="1">
        <f t="shared" ca="1" si="1"/>
        <v>2</v>
      </c>
      <c r="D26" s="1" t="s">
        <v>324</v>
      </c>
      <c r="E26" s="1"/>
      <c r="F26" s="1"/>
      <c r="G26" s="1" t="s">
        <v>682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270</v>
      </c>
      <c r="B27" s="3" t="s">
        <v>313</v>
      </c>
      <c r="C27" s="1">
        <f t="shared" ca="1" si="1"/>
        <v>1</v>
      </c>
      <c r="D27" s="1" t="s">
        <v>324</v>
      </c>
      <c r="E27" s="1"/>
      <c r="F27" s="1"/>
      <c r="G27" s="1" t="s">
        <v>594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270</v>
      </c>
      <c r="B28" s="3" t="s">
        <v>314</v>
      </c>
      <c r="C28" s="1">
        <f t="shared" ca="1" si="1"/>
        <v>1</v>
      </c>
      <c r="D28" s="1" t="s">
        <v>324</v>
      </c>
      <c r="E28" s="1"/>
      <c r="F28" s="1"/>
      <c r="G28" s="1" t="s">
        <v>594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270</v>
      </c>
      <c r="B29" s="3" t="s">
        <v>315</v>
      </c>
      <c r="C29" s="1">
        <f t="shared" ca="1" si="1"/>
        <v>1</v>
      </c>
      <c r="D29" s="1" t="s">
        <v>324</v>
      </c>
      <c r="E29" s="1"/>
      <c r="F29" s="1"/>
      <c r="G29" s="1" t="s">
        <v>594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270</v>
      </c>
      <c r="B30" s="3" t="s">
        <v>316</v>
      </c>
      <c r="C30" s="1">
        <f t="shared" ca="1" si="1"/>
        <v>1</v>
      </c>
      <c r="D30" s="1" t="s">
        <v>324</v>
      </c>
      <c r="E30" s="1"/>
      <c r="F30" s="1"/>
      <c r="G30" s="1" t="s">
        <v>594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270</v>
      </c>
      <c r="B31" s="3" t="s">
        <v>317</v>
      </c>
      <c r="C31" s="1">
        <f t="shared" ca="1" si="1"/>
        <v>1</v>
      </c>
      <c r="D31" s="1" t="s">
        <v>324</v>
      </c>
      <c r="E31" s="1"/>
      <c r="F31" s="1"/>
      <c r="G31" s="1" t="s">
        <v>594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270</v>
      </c>
      <c r="B32" s="3" t="s">
        <v>318</v>
      </c>
      <c r="C32" s="1">
        <f t="shared" ca="1" si="1"/>
        <v>1</v>
      </c>
      <c r="D32" s="1" t="s">
        <v>324</v>
      </c>
      <c r="E32" s="1"/>
      <c r="F32" s="1"/>
      <c r="G32" s="1" t="s">
        <v>594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270</v>
      </c>
      <c r="B33" s="3" t="s">
        <v>319</v>
      </c>
      <c r="C33" s="1">
        <f t="shared" ca="1" si="1"/>
        <v>1</v>
      </c>
      <c r="D33" s="1" t="s">
        <v>324</v>
      </c>
      <c r="E33" s="1"/>
      <c r="F33" s="1"/>
      <c r="G33" s="1" t="s">
        <v>594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270</v>
      </c>
      <c r="B34" s="3" t="s">
        <v>306</v>
      </c>
      <c r="C34" s="1">
        <f t="shared" ca="1" si="1"/>
        <v>1</v>
      </c>
      <c r="D34" s="1" t="s">
        <v>324</v>
      </c>
      <c r="E34" s="1"/>
      <c r="F34" s="1"/>
      <c r="G34" s="1" t="s">
        <v>594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270</v>
      </c>
      <c r="B35" s="3" t="s">
        <v>307</v>
      </c>
      <c r="C35" s="1">
        <f t="shared" ca="1" si="1"/>
        <v>1</v>
      </c>
      <c r="D35" s="1" t="s">
        <v>324</v>
      </c>
      <c r="E35" s="1"/>
      <c r="F35" s="1"/>
      <c r="G35" s="1" t="s">
        <v>594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270</v>
      </c>
      <c r="B36" s="3" t="s">
        <v>308</v>
      </c>
      <c r="C36" s="1">
        <f t="shared" ca="1" si="1"/>
        <v>1</v>
      </c>
      <c r="D36" s="1" t="s">
        <v>324</v>
      </c>
      <c r="E36" s="1"/>
      <c r="F36" s="1"/>
      <c r="G36" s="1" t="s">
        <v>594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270</v>
      </c>
      <c r="B37" s="3" t="s">
        <v>309</v>
      </c>
      <c r="C37" s="1">
        <f t="shared" ca="1" si="1"/>
        <v>1</v>
      </c>
      <c r="D37" s="1" t="s">
        <v>324</v>
      </c>
      <c r="E37" s="1"/>
      <c r="F37" s="1"/>
      <c r="G37" s="1" t="s">
        <v>594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270</v>
      </c>
      <c r="B38" s="3" t="s">
        <v>310</v>
      </c>
      <c r="C38" s="1">
        <f t="shared" ca="1" si="1"/>
        <v>1</v>
      </c>
      <c r="D38" s="1" t="s">
        <v>324</v>
      </c>
      <c r="E38" s="1"/>
      <c r="F38" s="1"/>
      <c r="G38" s="1" t="s">
        <v>594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270</v>
      </c>
      <c r="B39" s="3" t="s">
        <v>311</v>
      </c>
      <c r="C39" s="1">
        <f t="shared" ca="1" si="1"/>
        <v>1</v>
      </c>
      <c r="D39" s="1" t="s">
        <v>324</v>
      </c>
      <c r="E39" s="1"/>
      <c r="F39" s="1"/>
      <c r="G39" s="1" t="s">
        <v>594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270</v>
      </c>
      <c r="B40" s="3" t="s">
        <v>320</v>
      </c>
      <c r="C40" s="1">
        <f t="shared" ca="1" si="1"/>
        <v>1</v>
      </c>
      <c r="D40" s="1" t="s">
        <v>324</v>
      </c>
      <c r="E40" s="1"/>
      <c r="F40" s="1"/>
      <c r="G40" s="1" t="s">
        <v>594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270</v>
      </c>
      <c r="B41" s="3" t="s">
        <v>321</v>
      </c>
      <c r="C41" s="1">
        <f t="shared" ca="1" si="1"/>
        <v>1</v>
      </c>
      <c r="D41" s="1" t="s">
        <v>324</v>
      </c>
      <c r="E41" s="1"/>
      <c r="F41" s="1"/>
      <c r="G41" s="1" t="s">
        <v>594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270</v>
      </c>
      <c r="B42" s="4" t="s">
        <v>325</v>
      </c>
      <c r="C42" s="1">
        <f t="shared" ca="1" si="1"/>
        <v>2</v>
      </c>
      <c r="D42" s="1" t="s">
        <v>324</v>
      </c>
      <c r="E42" s="1"/>
      <c r="F42" s="1"/>
      <c r="G42" s="1" t="s">
        <v>682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270</v>
      </c>
      <c r="B43" s="4" t="s">
        <v>327</v>
      </c>
      <c r="C43" s="1">
        <f t="shared" ca="1" si="1"/>
        <v>2</v>
      </c>
      <c r="D43" s="1" t="s">
        <v>324</v>
      </c>
      <c r="E43" s="1"/>
      <c r="F43" s="1"/>
      <c r="G43" s="1" t="s">
        <v>682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270</v>
      </c>
      <c r="B44" s="4" t="s">
        <v>334</v>
      </c>
      <c r="C44" s="1">
        <f t="shared" ca="1" si="1"/>
        <v>2</v>
      </c>
      <c r="D44" s="1" t="s">
        <v>324</v>
      </c>
      <c r="E44" s="1"/>
      <c r="F44" s="1"/>
      <c r="G44" s="1" t="s">
        <v>594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270</v>
      </c>
      <c r="B45" s="3" t="s">
        <v>322</v>
      </c>
      <c r="C45" s="1">
        <f t="shared" ca="1" si="1"/>
        <v>1</v>
      </c>
      <c r="D45" s="1" t="s">
        <v>324</v>
      </c>
      <c r="E45" s="1"/>
      <c r="F45" s="1"/>
      <c r="G45" s="1" t="s">
        <v>594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270</v>
      </c>
      <c r="B46" s="1" t="s">
        <v>323</v>
      </c>
      <c r="C46" s="1">
        <f t="shared" ca="1" si="1"/>
        <v>0</v>
      </c>
      <c r="D46" s="1" t="s">
        <v>324</v>
      </c>
      <c r="E46" s="1"/>
      <c r="F46" s="1"/>
      <c r="G46" s="21" t="s">
        <v>595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345</v>
      </c>
      <c r="B47" s="1" t="s">
        <v>343</v>
      </c>
      <c r="C47" s="1">
        <f t="shared" ca="1" si="1"/>
        <v>0</v>
      </c>
      <c r="D47" s="1" t="s">
        <v>324</v>
      </c>
      <c r="E47" s="1"/>
      <c r="F47" s="1"/>
      <c r="G47" s="21" t="s">
        <v>595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345</v>
      </c>
      <c r="B48" s="3" t="s">
        <v>108</v>
      </c>
      <c r="C48" s="1">
        <f t="shared" ca="1" si="1"/>
        <v>1</v>
      </c>
      <c r="D48" s="1" t="s">
        <v>324</v>
      </c>
      <c r="E48" s="1"/>
      <c r="F48" s="1"/>
      <c r="G48" s="1" t="s">
        <v>684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345</v>
      </c>
      <c r="B49" s="3" t="s">
        <v>162</v>
      </c>
      <c r="C49" s="1">
        <f t="shared" ca="1" si="1"/>
        <v>1</v>
      </c>
      <c r="D49" s="1" t="s">
        <v>324</v>
      </c>
      <c r="E49" s="1"/>
      <c r="F49" s="1"/>
      <c r="G49" s="1" t="s">
        <v>684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345</v>
      </c>
      <c r="B50" s="1" t="s">
        <v>344</v>
      </c>
      <c r="C50" s="1">
        <f t="shared" ca="1" si="1"/>
        <v>0</v>
      </c>
      <c r="D50" s="1" t="s">
        <v>324</v>
      </c>
      <c r="E50" s="1"/>
      <c r="F50" s="1"/>
      <c r="G50" s="21" t="s">
        <v>595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345</v>
      </c>
      <c r="B51" s="3" t="s">
        <v>301</v>
      </c>
      <c r="C51" s="1">
        <f t="shared" ca="1" si="1"/>
        <v>1</v>
      </c>
      <c r="D51" s="1" t="s">
        <v>324</v>
      </c>
      <c r="E51" s="1"/>
      <c r="F51" s="1"/>
      <c r="G51" s="1" t="s">
        <v>594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345</v>
      </c>
      <c r="B52" s="4" t="s">
        <v>326</v>
      </c>
      <c r="C52" s="1">
        <f t="shared" ca="1" si="1"/>
        <v>2</v>
      </c>
      <c r="D52" s="1" t="s">
        <v>324</v>
      </c>
      <c r="E52" s="1"/>
      <c r="F52" s="1"/>
      <c r="G52" s="1" t="s">
        <v>682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345</v>
      </c>
      <c r="B53" s="3" t="s">
        <v>346</v>
      </c>
      <c r="C53" s="1">
        <f t="shared" ca="1" si="1"/>
        <v>1</v>
      </c>
      <c r="D53" s="1" t="s">
        <v>324</v>
      </c>
      <c r="E53" s="1"/>
      <c r="F53" s="1"/>
      <c r="G53" s="1" t="s">
        <v>594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345</v>
      </c>
      <c r="B54" s="4" t="s">
        <v>347</v>
      </c>
      <c r="C54" s="1">
        <f t="shared" ca="1" si="1"/>
        <v>2</v>
      </c>
      <c r="D54" s="1" t="s">
        <v>324</v>
      </c>
      <c r="E54" s="1"/>
      <c r="F54" s="1"/>
      <c r="G54" s="1" t="s">
        <v>594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345</v>
      </c>
      <c r="B55" s="4" t="s">
        <v>348</v>
      </c>
      <c r="C55" s="1">
        <f t="shared" ca="1" si="1"/>
        <v>2</v>
      </c>
      <c r="D55" s="1" t="s">
        <v>324</v>
      </c>
      <c r="E55" s="1"/>
      <c r="F55" s="1"/>
      <c r="G55" s="1" t="s">
        <v>594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345</v>
      </c>
      <c r="B56" s="5" t="s">
        <v>349</v>
      </c>
      <c r="C56" s="1">
        <f t="shared" ca="1" si="1"/>
        <v>3</v>
      </c>
      <c r="D56" s="1" t="s">
        <v>324</v>
      </c>
      <c r="E56" s="1"/>
      <c r="F56" s="1"/>
      <c r="G56" s="1" t="s">
        <v>594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345</v>
      </c>
      <c r="B57" s="5" t="s">
        <v>365</v>
      </c>
      <c r="C57" s="1">
        <f t="shared" ca="1" si="1"/>
        <v>3</v>
      </c>
      <c r="D57" s="1" t="s">
        <v>324</v>
      </c>
      <c r="E57" s="1"/>
      <c r="F57" s="1"/>
      <c r="G57" s="1" t="s">
        <v>594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345</v>
      </c>
      <c r="B58" s="5" t="s">
        <v>350</v>
      </c>
      <c r="C58" s="1">
        <f t="shared" ca="1" si="1"/>
        <v>3</v>
      </c>
      <c r="D58" s="1" t="s">
        <v>324</v>
      </c>
      <c r="E58" s="1"/>
      <c r="F58" s="1"/>
      <c r="G58" s="1" t="s">
        <v>594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345</v>
      </c>
      <c r="B59" s="5" t="s">
        <v>351</v>
      </c>
      <c r="C59" s="1">
        <f t="shared" ca="1" si="1"/>
        <v>3</v>
      </c>
      <c r="D59" s="1" t="s">
        <v>324</v>
      </c>
      <c r="E59" s="1"/>
      <c r="F59" s="1"/>
      <c r="G59" s="1" t="s">
        <v>594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345</v>
      </c>
      <c r="B60" s="5" t="s">
        <v>352</v>
      </c>
      <c r="C60" s="1">
        <f t="shared" ca="1" si="1"/>
        <v>3</v>
      </c>
      <c r="D60" s="1" t="s">
        <v>324</v>
      </c>
      <c r="E60" s="1"/>
      <c r="F60" s="1"/>
      <c r="G60" s="1" t="s">
        <v>594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345</v>
      </c>
      <c r="B61" s="4" t="s">
        <v>353</v>
      </c>
      <c r="C61" s="1">
        <f t="shared" ca="1" si="1"/>
        <v>2</v>
      </c>
      <c r="D61" s="1" t="s">
        <v>324</v>
      </c>
      <c r="E61" s="1"/>
      <c r="F61" s="1"/>
      <c r="G61" s="1" t="s">
        <v>594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345</v>
      </c>
      <c r="B62" s="4" t="s">
        <v>354</v>
      </c>
      <c r="C62" s="1">
        <f t="shared" ca="1" si="1"/>
        <v>2</v>
      </c>
      <c r="D62" s="1" t="s">
        <v>324</v>
      </c>
      <c r="E62" s="1"/>
      <c r="F62" s="1"/>
      <c r="G62" s="1" t="s">
        <v>594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345</v>
      </c>
      <c r="B63" s="4" t="s">
        <v>355</v>
      </c>
      <c r="C63" s="1">
        <f t="shared" ca="1" si="1"/>
        <v>2</v>
      </c>
      <c r="D63" s="1" t="s">
        <v>324</v>
      </c>
      <c r="E63" s="1"/>
      <c r="F63" s="1"/>
      <c r="G63" s="1" t="s">
        <v>594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345</v>
      </c>
      <c r="B64" s="4" t="s">
        <v>356</v>
      </c>
      <c r="C64" s="1">
        <f t="shared" ca="1" si="1"/>
        <v>2</v>
      </c>
      <c r="D64" s="1" t="s">
        <v>324</v>
      </c>
      <c r="E64" s="1"/>
      <c r="F64" s="1"/>
      <c r="G64" s="1" t="s">
        <v>594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345</v>
      </c>
      <c r="B65" s="4" t="s">
        <v>357</v>
      </c>
      <c r="C65" s="1">
        <f t="shared" ca="1" si="1"/>
        <v>2</v>
      </c>
      <c r="D65" s="1" t="s">
        <v>324</v>
      </c>
      <c r="E65" s="1"/>
      <c r="F65" s="1"/>
      <c r="G65" s="1" t="s">
        <v>594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345</v>
      </c>
      <c r="B66" s="4" t="s">
        <v>358</v>
      </c>
      <c r="C66" s="1">
        <f t="shared" ca="1" si="1"/>
        <v>2</v>
      </c>
      <c r="D66" s="1" t="s">
        <v>324</v>
      </c>
      <c r="E66" s="1"/>
      <c r="F66" s="1"/>
      <c r="G66" s="1" t="s">
        <v>594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345</v>
      </c>
      <c r="B67" s="4" t="s">
        <v>359</v>
      </c>
      <c r="C67" s="1">
        <f t="shared" ref="C67:C130" ca="1" si="9">indent(B67)</f>
        <v>2</v>
      </c>
      <c r="D67" s="1" t="s">
        <v>324</v>
      </c>
      <c r="E67" s="1"/>
      <c r="F67" s="1"/>
      <c r="G67" s="1" t="s">
        <v>594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345</v>
      </c>
      <c r="B68" s="5" t="s">
        <v>368</v>
      </c>
      <c r="C68" s="1">
        <f t="shared" ca="1" si="9"/>
        <v>3</v>
      </c>
      <c r="D68" s="1" t="s">
        <v>324</v>
      </c>
      <c r="E68" s="1"/>
      <c r="F68" s="1"/>
      <c r="G68" s="1" t="s">
        <v>682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345</v>
      </c>
      <c r="B69" s="4" t="s">
        <v>360</v>
      </c>
      <c r="C69" s="1">
        <f t="shared" ca="1" si="9"/>
        <v>2</v>
      </c>
      <c r="D69" s="1" t="s">
        <v>324</v>
      </c>
      <c r="E69" s="1"/>
      <c r="F69" s="1"/>
      <c r="G69" s="1" t="s">
        <v>594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345</v>
      </c>
      <c r="B70" s="5" t="s">
        <v>364</v>
      </c>
      <c r="C70" s="1">
        <f t="shared" ca="1" si="9"/>
        <v>3</v>
      </c>
      <c r="D70" s="1" t="s">
        <v>324</v>
      </c>
      <c r="E70" s="1"/>
      <c r="F70" s="1"/>
      <c r="G70" s="1" t="s">
        <v>594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345</v>
      </c>
      <c r="B71" s="5" t="s">
        <v>366</v>
      </c>
      <c r="C71" s="1">
        <f t="shared" ca="1" si="9"/>
        <v>3</v>
      </c>
      <c r="D71" s="1" t="s">
        <v>324</v>
      </c>
      <c r="E71" s="1"/>
      <c r="F71" s="1"/>
      <c r="G71" s="1" t="s">
        <v>682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345</v>
      </c>
      <c r="B72" s="4" t="s">
        <v>361</v>
      </c>
      <c r="C72" s="1">
        <f t="shared" ca="1" si="9"/>
        <v>2</v>
      </c>
      <c r="D72" s="1" t="s">
        <v>324</v>
      </c>
      <c r="E72" s="1"/>
      <c r="F72" s="1"/>
      <c r="G72" s="1" t="s">
        <v>594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345</v>
      </c>
      <c r="B73" s="5" t="s">
        <v>116</v>
      </c>
      <c r="C73" s="1">
        <f t="shared" ca="1" si="9"/>
        <v>3</v>
      </c>
      <c r="D73" s="1" t="s">
        <v>324</v>
      </c>
      <c r="E73" s="1"/>
      <c r="F73" s="1"/>
      <c r="G73" s="1" t="s">
        <v>594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345</v>
      </c>
      <c r="B74" s="5" t="s">
        <v>363</v>
      </c>
      <c r="C74" s="1">
        <f t="shared" ca="1" si="9"/>
        <v>3</v>
      </c>
      <c r="D74" s="1" t="s">
        <v>324</v>
      </c>
      <c r="E74" s="1"/>
      <c r="F74" s="1"/>
      <c r="G74" s="1" t="s">
        <v>682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345</v>
      </c>
      <c r="B75" s="4" t="s">
        <v>362</v>
      </c>
      <c r="C75" s="1">
        <f t="shared" ca="1" si="9"/>
        <v>2</v>
      </c>
      <c r="D75" s="1" t="s">
        <v>324</v>
      </c>
      <c r="E75" s="1"/>
      <c r="F75" s="1"/>
      <c r="G75" s="1" t="s">
        <v>594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345</v>
      </c>
      <c r="B76" s="4" t="s">
        <v>367</v>
      </c>
      <c r="C76" s="1">
        <f t="shared" ca="1" si="9"/>
        <v>2</v>
      </c>
      <c r="D76" s="1" t="s">
        <v>324</v>
      </c>
      <c r="E76" s="1"/>
      <c r="F76" s="1"/>
      <c r="G76" s="1" t="s">
        <v>684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370</v>
      </c>
      <c r="B77" s="1" t="s">
        <v>369</v>
      </c>
      <c r="C77" s="1">
        <f t="shared" ca="1" si="9"/>
        <v>0</v>
      </c>
      <c r="D77" s="1" t="s">
        <v>324</v>
      </c>
      <c r="E77" s="1"/>
      <c r="F77" s="1"/>
      <c r="G77" s="21" t="s">
        <v>595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370</v>
      </c>
      <c r="B78" s="3" t="s">
        <v>372</v>
      </c>
      <c r="C78" s="1">
        <f t="shared" ca="1" si="9"/>
        <v>1</v>
      </c>
      <c r="D78" s="1" t="s">
        <v>324</v>
      </c>
      <c r="E78" s="1"/>
      <c r="F78" s="1"/>
      <c r="G78" s="1" t="s">
        <v>594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370</v>
      </c>
      <c r="B79" s="3" t="s">
        <v>371</v>
      </c>
      <c r="C79" s="1">
        <f t="shared" ca="1" si="9"/>
        <v>1</v>
      </c>
      <c r="D79" s="1" t="s">
        <v>324</v>
      </c>
      <c r="E79" s="1"/>
      <c r="F79" s="1"/>
      <c r="G79" s="1" t="s">
        <v>594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370</v>
      </c>
      <c r="B80" s="4" t="s">
        <v>303</v>
      </c>
      <c r="C80" s="1">
        <f t="shared" ca="1" si="9"/>
        <v>2</v>
      </c>
      <c r="D80" s="1" t="s">
        <v>324</v>
      </c>
      <c r="E80" s="1"/>
      <c r="F80" s="1"/>
      <c r="G80" s="1" t="s">
        <v>594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370</v>
      </c>
      <c r="B81" s="5" t="s">
        <v>332</v>
      </c>
      <c r="C81" s="1">
        <f t="shared" ca="1" si="9"/>
        <v>3</v>
      </c>
      <c r="D81" s="1" t="s">
        <v>324</v>
      </c>
      <c r="E81" s="1"/>
      <c r="F81" s="1"/>
      <c r="G81" s="1" t="s">
        <v>682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370</v>
      </c>
      <c r="B82" s="4" t="s">
        <v>374</v>
      </c>
      <c r="C82" s="1">
        <f t="shared" ca="1" si="9"/>
        <v>2</v>
      </c>
      <c r="D82" s="1" t="s">
        <v>324</v>
      </c>
      <c r="E82" s="1"/>
      <c r="F82" s="1"/>
      <c r="G82" s="1" t="s">
        <v>594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370</v>
      </c>
      <c r="B83" s="5" t="s">
        <v>373</v>
      </c>
      <c r="C83" s="1">
        <f t="shared" ca="1" si="9"/>
        <v>3</v>
      </c>
      <c r="D83" s="1" t="s">
        <v>324</v>
      </c>
      <c r="E83" s="1"/>
      <c r="F83" s="1"/>
      <c r="G83" s="1" t="s">
        <v>682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370</v>
      </c>
      <c r="B84" s="4" t="s">
        <v>375</v>
      </c>
      <c r="C84" s="1">
        <f t="shared" ca="1" si="9"/>
        <v>2</v>
      </c>
      <c r="D84" s="1" t="s">
        <v>324</v>
      </c>
      <c r="E84" s="1"/>
      <c r="F84" s="1"/>
      <c r="G84" s="1" t="s">
        <v>594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370</v>
      </c>
      <c r="B85" s="5" t="s">
        <v>376</v>
      </c>
      <c r="C85" s="1">
        <f t="shared" ca="1" si="9"/>
        <v>3</v>
      </c>
      <c r="D85" s="1" t="s">
        <v>324</v>
      </c>
      <c r="E85" s="1"/>
      <c r="F85" s="1"/>
      <c r="G85" s="1" t="s">
        <v>682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370</v>
      </c>
      <c r="B86" s="4" t="s">
        <v>377</v>
      </c>
      <c r="C86" s="1">
        <f t="shared" ca="1" si="9"/>
        <v>2</v>
      </c>
      <c r="D86" s="1" t="s">
        <v>324</v>
      </c>
      <c r="E86" s="1"/>
      <c r="F86" s="1"/>
      <c r="G86" s="1" t="s">
        <v>594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370</v>
      </c>
      <c r="B87" s="5" t="s">
        <v>378</v>
      </c>
      <c r="C87" s="1">
        <f t="shared" ca="1" si="9"/>
        <v>3</v>
      </c>
      <c r="D87" s="1" t="s">
        <v>324</v>
      </c>
      <c r="E87" s="1"/>
      <c r="F87" s="1"/>
      <c r="G87" s="1" t="s">
        <v>682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370</v>
      </c>
      <c r="B88" s="4" t="s">
        <v>379</v>
      </c>
      <c r="C88" s="1">
        <f t="shared" ca="1" si="9"/>
        <v>2</v>
      </c>
      <c r="D88" s="1" t="s">
        <v>324</v>
      </c>
      <c r="E88" s="1"/>
      <c r="F88" s="1"/>
      <c r="G88" s="1" t="s">
        <v>594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370</v>
      </c>
      <c r="B89" s="5" t="s">
        <v>380</v>
      </c>
      <c r="C89" s="1">
        <f t="shared" ca="1" si="9"/>
        <v>3</v>
      </c>
      <c r="D89" s="1" t="s">
        <v>324</v>
      </c>
      <c r="E89" s="1"/>
      <c r="F89" s="1"/>
      <c r="G89" s="1" t="s">
        <v>682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370</v>
      </c>
      <c r="B90" s="4" t="s">
        <v>381</v>
      </c>
      <c r="C90" s="1">
        <f t="shared" ca="1" si="9"/>
        <v>2</v>
      </c>
      <c r="D90" s="1" t="s">
        <v>324</v>
      </c>
      <c r="E90" s="1"/>
      <c r="F90" s="1"/>
      <c r="G90" s="1" t="s">
        <v>594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370</v>
      </c>
      <c r="B91" s="5" t="s">
        <v>382</v>
      </c>
      <c r="C91" s="1">
        <f t="shared" ca="1" si="9"/>
        <v>3</v>
      </c>
      <c r="D91" s="1" t="s">
        <v>324</v>
      </c>
      <c r="E91" s="1"/>
      <c r="F91" s="1"/>
      <c r="G91" s="1" t="s">
        <v>682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370</v>
      </c>
      <c r="B92" s="4" t="s">
        <v>383</v>
      </c>
      <c r="C92" s="1">
        <f t="shared" ca="1" si="9"/>
        <v>2</v>
      </c>
      <c r="D92" s="1" t="s">
        <v>324</v>
      </c>
      <c r="E92" s="1"/>
      <c r="F92" s="1"/>
      <c r="G92" s="1" t="s">
        <v>594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370</v>
      </c>
      <c r="B93" s="5" t="s">
        <v>384</v>
      </c>
      <c r="C93" s="1">
        <f t="shared" ca="1" si="9"/>
        <v>3</v>
      </c>
      <c r="D93" s="1" t="s">
        <v>324</v>
      </c>
      <c r="E93" s="1"/>
      <c r="F93" s="1"/>
      <c r="G93" s="1" t="s">
        <v>682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370</v>
      </c>
      <c r="B94" s="4" t="s">
        <v>385</v>
      </c>
      <c r="C94" s="1">
        <f t="shared" ca="1" si="9"/>
        <v>2</v>
      </c>
      <c r="D94" s="1" t="s">
        <v>324</v>
      </c>
      <c r="E94" s="1"/>
      <c r="F94" s="1"/>
      <c r="G94" s="1" t="s">
        <v>594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370</v>
      </c>
      <c r="B95" s="5" t="s">
        <v>386</v>
      </c>
      <c r="C95" s="1">
        <f t="shared" ca="1" si="9"/>
        <v>3</v>
      </c>
      <c r="D95" s="1" t="s">
        <v>324</v>
      </c>
      <c r="E95" s="1"/>
      <c r="F95" s="1"/>
      <c r="G95" s="1" t="s">
        <v>594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370</v>
      </c>
      <c r="B96" s="5" t="s">
        <v>387</v>
      </c>
      <c r="C96" s="1">
        <f t="shared" ca="1" si="9"/>
        <v>3</v>
      </c>
      <c r="D96" s="1" t="s">
        <v>324</v>
      </c>
      <c r="E96" s="1"/>
      <c r="F96" s="1"/>
      <c r="G96" s="1" t="s">
        <v>682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370</v>
      </c>
      <c r="B97" s="4" t="s">
        <v>388</v>
      </c>
      <c r="C97" s="1">
        <f t="shared" ca="1" si="9"/>
        <v>2</v>
      </c>
      <c r="D97" s="1" t="s">
        <v>324</v>
      </c>
      <c r="E97" s="1"/>
      <c r="F97" s="1"/>
      <c r="G97" s="1" t="s">
        <v>594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370</v>
      </c>
      <c r="B98" s="5" t="s">
        <v>386</v>
      </c>
      <c r="C98" s="1">
        <f t="shared" ca="1" si="9"/>
        <v>3</v>
      </c>
      <c r="D98" s="1" t="s">
        <v>324</v>
      </c>
      <c r="E98" s="1"/>
      <c r="F98" s="1"/>
      <c r="G98" s="1" t="s">
        <v>594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370</v>
      </c>
      <c r="B99" s="5" t="s">
        <v>389</v>
      </c>
      <c r="C99" s="1">
        <f t="shared" ca="1" si="9"/>
        <v>3</v>
      </c>
      <c r="D99" s="1" t="s">
        <v>324</v>
      </c>
      <c r="E99" s="1"/>
      <c r="F99" s="1"/>
      <c r="G99" s="1" t="s">
        <v>682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370</v>
      </c>
      <c r="B100" s="4" t="s">
        <v>390</v>
      </c>
      <c r="C100" s="1">
        <f t="shared" ca="1" si="9"/>
        <v>2</v>
      </c>
      <c r="D100" s="1" t="s">
        <v>324</v>
      </c>
      <c r="E100" s="1"/>
      <c r="F100" s="1"/>
      <c r="G100" s="1" t="s">
        <v>594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370</v>
      </c>
      <c r="B101" s="5" t="s">
        <v>391</v>
      </c>
      <c r="C101" s="1">
        <f t="shared" ca="1" si="9"/>
        <v>3</v>
      </c>
      <c r="D101" s="1" t="s">
        <v>324</v>
      </c>
      <c r="E101" s="1"/>
      <c r="F101" s="1"/>
      <c r="G101" s="1" t="s">
        <v>682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370</v>
      </c>
      <c r="B102" s="5" t="s">
        <v>386</v>
      </c>
      <c r="C102" s="1">
        <f t="shared" ca="1" si="9"/>
        <v>3</v>
      </c>
      <c r="D102" s="1" t="s">
        <v>324</v>
      </c>
      <c r="E102" s="1"/>
      <c r="F102" s="1"/>
      <c r="G102" s="1" t="s">
        <v>594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370</v>
      </c>
      <c r="B103" s="4" t="s">
        <v>394</v>
      </c>
      <c r="C103" s="1">
        <f t="shared" ca="1" si="9"/>
        <v>2</v>
      </c>
      <c r="D103" s="1" t="s">
        <v>324</v>
      </c>
      <c r="E103" s="1"/>
      <c r="F103" s="1"/>
      <c r="G103" s="1" t="s">
        <v>594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370</v>
      </c>
      <c r="B104" s="5" t="s">
        <v>395</v>
      </c>
      <c r="C104" s="1">
        <f t="shared" ca="1" si="9"/>
        <v>3</v>
      </c>
      <c r="D104" s="1" t="s">
        <v>324</v>
      </c>
      <c r="E104" s="1"/>
      <c r="F104" s="1"/>
      <c r="G104" s="1" t="s">
        <v>594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370</v>
      </c>
      <c r="B105" s="15" t="s">
        <v>397</v>
      </c>
      <c r="C105" s="1">
        <f t="shared" ca="1" si="9"/>
        <v>4</v>
      </c>
      <c r="D105" s="1" t="s">
        <v>324</v>
      </c>
      <c r="E105" s="1"/>
      <c r="F105" s="1"/>
      <c r="G105" s="1" t="s">
        <v>682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370</v>
      </c>
      <c r="B106" s="5" t="s">
        <v>396</v>
      </c>
      <c r="C106" s="1">
        <f t="shared" ca="1" si="9"/>
        <v>3</v>
      </c>
      <c r="D106" s="1" t="s">
        <v>324</v>
      </c>
      <c r="E106" s="1"/>
      <c r="F106" s="1"/>
      <c r="G106" s="1" t="s">
        <v>594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370</v>
      </c>
      <c r="B107" s="15" t="s">
        <v>398</v>
      </c>
      <c r="C107" s="1">
        <f t="shared" ca="1" si="9"/>
        <v>4</v>
      </c>
      <c r="D107" s="1" t="s">
        <v>324</v>
      </c>
      <c r="E107" s="1"/>
      <c r="F107" s="1"/>
      <c r="G107" s="1" t="s">
        <v>682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370</v>
      </c>
      <c r="B108" s="4" t="s">
        <v>392</v>
      </c>
      <c r="C108" s="1">
        <f t="shared" ca="1" si="9"/>
        <v>2</v>
      </c>
      <c r="D108" s="1" t="s">
        <v>324</v>
      </c>
      <c r="E108" s="1"/>
      <c r="F108" s="1"/>
      <c r="G108" s="1" t="s">
        <v>594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370</v>
      </c>
      <c r="B109" s="5" t="s">
        <v>393</v>
      </c>
      <c r="C109" s="1">
        <f t="shared" ca="1" si="9"/>
        <v>3</v>
      </c>
      <c r="D109" s="1" t="s">
        <v>324</v>
      </c>
      <c r="E109" s="1"/>
      <c r="F109" s="1"/>
      <c r="G109" s="1" t="s">
        <v>682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443</v>
      </c>
      <c r="B110" s="1" t="s">
        <v>442</v>
      </c>
      <c r="C110" s="1">
        <f t="shared" ca="1" si="9"/>
        <v>0</v>
      </c>
      <c r="D110" s="1" t="s">
        <v>324</v>
      </c>
      <c r="E110" s="1"/>
      <c r="F110" s="1"/>
      <c r="G110" s="21" t="s">
        <v>595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372</v>
      </c>
      <c r="C111" s="1">
        <f t="shared" ca="1" si="9"/>
        <v>1</v>
      </c>
      <c r="D111" s="1" t="s">
        <v>324</v>
      </c>
      <c r="E111" s="1"/>
      <c r="F111" s="1"/>
      <c r="G111" s="1" t="s">
        <v>594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441</v>
      </c>
      <c r="C112" s="1">
        <f t="shared" ca="1" si="9"/>
        <v>1</v>
      </c>
      <c r="D112" s="1" t="s">
        <v>324</v>
      </c>
      <c r="E112" s="1"/>
      <c r="F112" s="1"/>
      <c r="G112" s="1" t="s">
        <v>594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116</v>
      </c>
      <c r="C113" s="1">
        <f t="shared" ca="1" si="9"/>
        <v>2</v>
      </c>
      <c r="D113" s="1" t="s">
        <v>324</v>
      </c>
      <c r="E113" s="1"/>
      <c r="F113" s="1"/>
      <c r="G113" s="1" t="s">
        <v>594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371</v>
      </c>
      <c r="C114" s="1">
        <f t="shared" ca="1" si="9"/>
        <v>2</v>
      </c>
      <c r="D114" s="1" t="s">
        <v>324</v>
      </c>
      <c r="E114" s="1"/>
      <c r="F114" s="1"/>
      <c r="G114" s="1" t="s">
        <v>594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444</v>
      </c>
      <c r="C115" s="1">
        <f t="shared" ca="1" si="9"/>
        <v>3</v>
      </c>
      <c r="D115" s="1" t="s">
        <v>324</v>
      </c>
      <c r="E115" s="1"/>
      <c r="F115" s="1"/>
      <c r="G115" s="1" t="s">
        <v>594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445</v>
      </c>
      <c r="C116" s="1">
        <f t="shared" ca="1" si="9"/>
        <v>4</v>
      </c>
      <c r="D116" s="1" t="s">
        <v>324</v>
      </c>
      <c r="E116" s="1"/>
      <c r="F116" s="1"/>
      <c r="G116" s="1" t="s">
        <v>682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388</v>
      </c>
      <c r="C117" s="1">
        <f t="shared" ca="1" si="9"/>
        <v>3</v>
      </c>
      <c r="D117" s="1" t="s">
        <v>324</v>
      </c>
      <c r="E117" s="1"/>
      <c r="F117" s="1"/>
      <c r="G117" s="1" t="s">
        <v>594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446</v>
      </c>
      <c r="C118" s="1">
        <f t="shared" ca="1" si="9"/>
        <v>4</v>
      </c>
      <c r="D118" s="1" t="s">
        <v>324</v>
      </c>
      <c r="E118" s="1"/>
      <c r="F118" s="1"/>
      <c r="G118" s="1" t="s">
        <v>682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448</v>
      </c>
      <c r="B119" s="1" t="s">
        <v>447</v>
      </c>
      <c r="C119" s="1">
        <f t="shared" ca="1" si="9"/>
        <v>0</v>
      </c>
      <c r="D119" s="1" t="s">
        <v>324</v>
      </c>
      <c r="E119" s="1"/>
      <c r="F119" s="1"/>
      <c r="G119" s="21" t="s">
        <v>595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301</v>
      </c>
      <c r="C120" s="1">
        <f t="shared" ca="1" si="9"/>
        <v>1</v>
      </c>
      <c r="D120" s="1" t="s">
        <v>324</v>
      </c>
      <c r="E120" s="1"/>
      <c r="F120" s="1"/>
      <c r="G120" s="1" t="s">
        <v>594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326</v>
      </c>
      <c r="C121" s="1">
        <f t="shared" ca="1" si="9"/>
        <v>2</v>
      </c>
      <c r="D121" s="1" t="s">
        <v>324</v>
      </c>
      <c r="E121" s="1"/>
      <c r="F121" s="1"/>
      <c r="G121" s="1" t="s">
        <v>682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372</v>
      </c>
      <c r="C122" s="1">
        <f t="shared" ca="1" si="9"/>
        <v>1</v>
      </c>
      <c r="D122" s="1" t="s">
        <v>324</v>
      </c>
      <c r="E122" s="1"/>
      <c r="F122" s="1"/>
      <c r="G122" s="1" t="s">
        <v>594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84</v>
      </c>
      <c r="C123" s="1">
        <f t="shared" ca="1" si="9"/>
        <v>1</v>
      </c>
      <c r="D123" s="1" t="s">
        <v>324</v>
      </c>
      <c r="E123" s="1"/>
      <c r="F123" s="1"/>
      <c r="G123" s="1" t="s">
        <v>594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449</v>
      </c>
      <c r="C124" s="1">
        <f t="shared" ca="1" si="9"/>
        <v>2</v>
      </c>
      <c r="D124" s="1" t="s">
        <v>324</v>
      </c>
      <c r="E124" s="1"/>
      <c r="F124" s="1"/>
      <c r="G124" s="1" t="s">
        <v>594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439</v>
      </c>
      <c r="C125" s="1">
        <f t="shared" ca="1" si="9"/>
        <v>3</v>
      </c>
      <c r="D125" s="1" t="s">
        <v>324</v>
      </c>
      <c r="E125" s="1"/>
      <c r="F125" s="1"/>
      <c r="G125" s="1" t="s">
        <v>594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108</v>
      </c>
      <c r="C126" s="1">
        <f t="shared" ca="1" si="9"/>
        <v>3</v>
      </c>
      <c r="D126" s="1" t="s">
        <v>324</v>
      </c>
      <c r="E126" s="1"/>
      <c r="F126" s="1"/>
      <c r="G126" s="1" t="s">
        <v>684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162</v>
      </c>
      <c r="C127" s="1">
        <f t="shared" ca="1" si="9"/>
        <v>3</v>
      </c>
      <c r="D127" s="1" t="s">
        <v>324</v>
      </c>
      <c r="E127" s="1"/>
      <c r="F127" s="1"/>
      <c r="G127" s="1" t="s">
        <v>684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450</v>
      </c>
      <c r="C128" s="1">
        <f t="shared" ca="1" si="9"/>
        <v>2</v>
      </c>
      <c r="D128" s="1" t="s">
        <v>324</v>
      </c>
      <c r="E128" s="1"/>
      <c r="F128" s="1"/>
      <c r="G128" s="1" t="s">
        <v>594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439</v>
      </c>
      <c r="C129" s="1">
        <f t="shared" ca="1" si="9"/>
        <v>3</v>
      </c>
      <c r="D129" s="1" t="s">
        <v>324</v>
      </c>
      <c r="E129" s="1"/>
      <c r="F129" s="1"/>
      <c r="G129" s="1" t="s">
        <v>594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108</v>
      </c>
      <c r="C130" s="1">
        <f t="shared" ca="1" si="9"/>
        <v>3</v>
      </c>
      <c r="D130" s="1" t="s">
        <v>324</v>
      </c>
      <c r="E130" s="1"/>
      <c r="F130" s="1"/>
      <c r="G130" s="1" t="s">
        <v>684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162</v>
      </c>
      <c r="C131" s="1">
        <f t="shared" ref="C131:C194" ca="1" si="15">indent(B131)</f>
        <v>3</v>
      </c>
      <c r="D131" s="1" t="s">
        <v>324</v>
      </c>
      <c r="E131" s="1"/>
      <c r="F131" s="1"/>
      <c r="G131" s="1" t="s">
        <v>684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451</v>
      </c>
      <c r="C132" s="1">
        <f t="shared" ca="1" si="15"/>
        <v>2</v>
      </c>
      <c r="D132" s="1" t="s">
        <v>324</v>
      </c>
      <c r="E132" s="1"/>
      <c r="F132" s="1"/>
      <c r="G132" s="1" t="s">
        <v>594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439</v>
      </c>
      <c r="C133" s="1">
        <f t="shared" ca="1" si="15"/>
        <v>3</v>
      </c>
      <c r="D133" s="1" t="s">
        <v>324</v>
      </c>
      <c r="E133" s="1"/>
      <c r="F133" s="1"/>
      <c r="G133" s="1" t="s">
        <v>594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108</v>
      </c>
      <c r="C134" s="1">
        <f t="shared" ca="1" si="15"/>
        <v>3</v>
      </c>
      <c r="D134" s="1" t="s">
        <v>324</v>
      </c>
      <c r="E134" s="1"/>
      <c r="F134" s="1"/>
      <c r="G134" s="1" t="s">
        <v>684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162</v>
      </c>
      <c r="C135" s="1">
        <f t="shared" ca="1" si="15"/>
        <v>3</v>
      </c>
      <c r="D135" s="1" t="s">
        <v>324</v>
      </c>
      <c r="E135" s="1"/>
      <c r="F135" s="1"/>
      <c r="G135" s="1" t="s">
        <v>684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452</v>
      </c>
      <c r="C136" s="1">
        <f t="shared" ca="1" si="15"/>
        <v>2</v>
      </c>
      <c r="D136" s="1" t="s">
        <v>324</v>
      </c>
      <c r="E136" s="1"/>
      <c r="F136" s="1"/>
      <c r="G136" s="1" t="s">
        <v>594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439</v>
      </c>
      <c r="C137" s="1">
        <f t="shared" ca="1" si="15"/>
        <v>3</v>
      </c>
      <c r="D137" s="1" t="s">
        <v>324</v>
      </c>
      <c r="E137" s="1"/>
      <c r="F137" s="1"/>
      <c r="G137" s="1" t="s">
        <v>594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108</v>
      </c>
      <c r="C138" s="1">
        <f t="shared" ca="1" si="15"/>
        <v>3</v>
      </c>
      <c r="D138" s="1" t="s">
        <v>324</v>
      </c>
      <c r="E138" s="1"/>
      <c r="F138" s="1"/>
      <c r="G138" s="1" t="s">
        <v>684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162</v>
      </c>
      <c r="C139" s="1">
        <f t="shared" ca="1" si="15"/>
        <v>3</v>
      </c>
      <c r="D139" s="1" t="s">
        <v>324</v>
      </c>
      <c r="E139" s="1"/>
      <c r="F139" s="1"/>
      <c r="G139" s="1" t="s">
        <v>684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453</v>
      </c>
      <c r="C140" s="1">
        <f t="shared" ca="1" si="15"/>
        <v>2</v>
      </c>
      <c r="D140" s="1" t="s">
        <v>324</v>
      </c>
      <c r="E140" s="1"/>
      <c r="F140" s="1"/>
      <c r="G140" s="1" t="s">
        <v>594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439</v>
      </c>
      <c r="C141" s="1">
        <f t="shared" ca="1" si="15"/>
        <v>3</v>
      </c>
      <c r="D141" s="1" t="s">
        <v>324</v>
      </c>
      <c r="E141" s="1"/>
      <c r="F141" s="1"/>
      <c r="G141" s="1" t="s">
        <v>594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108</v>
      </c>
      <c r="C142" s="1">
        <f t="shared" ca="1" si="15"/>
        <v>3</v>
      </c>
      <c r="D142" s="1" t="s">
        <v>324</v>
      </c>
      <c r="E142" s="1"/>
      <c r="F142" s="1"/>
      <c r="G142" s="1" t="s">
        <v>684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162</v>
      </c>
      <c r="C143" s="1">
        <f t="shared" ca="1" si="15"/>
        <v>3</v>
      </c>
      <c r="D143" s="1" t="s">
        <v>324</v>
      </c>
      <c r="E143" s="1"/>
      <c r="F143" s="1"/>
      <c r="G143" s="1" t="s">
        <v>684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454</v>
      </c>
      <c r="C144" s="1">
        <f t="shared" ca="1" si="15"/>
        <v>2</v>
      </c>
      <c r="D144" s="1" t="s">
        <v>324</v>
      </c>
      <c r="E144" s="1"/>
      <c r="F144" s="1"/>
      <c r="G144" s="1" t="s">
        <v>594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439</v>
      </c>
      <c r="C145" s="1">
        <f t="shared" ca="1" si="15"/>
        <v>3</v>
      </c>
      <c r="D145" s="1" t="s">
        <v>324</v>
      </c>
      <c r="E145" s="1"/>
      <c r="F145" s="1"/>
      <c r="G145" s="1" t="s">
        <v>594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108</v>
      </c>
      <c r="C146" s="1">
        <f t="shared" ca="1" si="15"/>
        <v>3</v>
      </c>
      <c r="D146" s="1" t="s">
        <v>324</v>
      </c>
      <c r="E146" s="1"/>
      <c r="F146" s="1"/>
      <c r="G146" s="1" t="s">
        <v>684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162</v>
      </c>
      <c r="C147" s="1">
        <f t="shared" ca="1" si="15"/>
        <v>3</v>
      </c>
      <c r="D147" s="1" t="s">
        <v>324</v>
      </c>
      <c r="E147" s="1"/>
      <c r="F147" s="1"/>
      <c r="G147" s="1" t="s">
        <v>684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455</v>
      </c>
      <c r="C148" s="1">
        <f t="shared" ca="1" si="15"/>
        <v>2</v>
      </c>
      <c r="D148" s="1" t="s">
        <v>324</v>
      </c>
      <c r="E148" s="1"/>
      <c r="F148" s="1"/>
      <c r="G148" s="1" t="s">
        <v>594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439</v>
      </c>
      <c r="C149" s="1">
        <f t="shared" ca="1" si="15"/>
        <v>3</v>
      </c>
      <c r="D149" s="1" t="s">
        <v>324</v>
      </c>
      <c r="E149" s="1"/>
      <c r="F149" s="1"/>
      <c r="G149" s="1" t="s">
        <v>594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108</v>
      </c>
      <c r="C150" s="1">
        <f t="shared" ca="1" si="15"/>
        <v>3</v>
      </c>
      <c r="D150" s="1" t="s">
        <v>324</v>
      </c>
      <c r="E150" s="1"/>
      <c r="F150" s="1"/>
      <c r="G150" s="1" t="s">
        <v>684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162</v>
      </c>
      <c r="C151" s="1">
        <f t="shared" ca="1" si="15"/>
        <v>3</v>
      </c>
      <c r="D151" s="1" t="s">
        <v>324</v>
      </c>
      <c r="E151" s="1"/>
      <c r="F151" s="1"/>
      <c r="G151" s="1" t="s">
        <v>684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456</v>
      </c>
      <c r="C152" s="1">
        <f t="shared" ca="1" si="15"/>
        <v>2</v>
      </c>
      <c r="D152" s="1" t="s">
        <v>324</v>
      </c>
      <c r="E152" s="1"/>
      <c r="F152" s="1"/>
      <c r="G152" s="1" t="s">
        <v>594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439</v>
      </c>
      <c r="C153" s="1">
        <f t="shared" ca="1" si="15"/>
        <v>3</v>
      </c>
      <c r="D153" s="1" t="s">
        <v>324</v>
      </c>
      <c r="E153" s="1"/>
      <c r="F153" s="1"/>
      <c r="G153" s="1" t="s">
        <v>594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108</v>
      </c>
      <c r="C154" s="1">
        <f t="shared" ca="1" si="15"/>
        <v>3</v>
      </c>
      <c r="D154" s="1" t="s">
        <v>324</v>
      </c>
      <c r="E154" s="1"/>
      <c r="F154" s="1"/>
      <c r="G154" s="1" t="s">
        <v>684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162</v>
      </c>
      <c r="C155" s="1">
        <f t="shared" ca="1" si="15"/>
        <v>3</v>
      </c>
      <c r="D155" s="1" t="s">
        <v>324</v>
      </c>
      <c r="E155" s="1"/>
      <c r="F155" s="1"/>
      <c r="G155" s="1" t="s">
        <v>684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457</v>
      </c>
      <c r="C156" s="1">
        <f t="shared" ca="1" si="15"/>
        <v>2</v>
      </c>
      <c r="D156" s="1" t="s">
        <v>324</v>
      </c>
      <c r="E156" s="1"/>
      <c r="F156" s="1"/>
      <c r="G156" s="1" t="s">
        <v>594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439</v>
      </c>
      <c r="C157" s="1">
        <f t="shared" ca="1" si="15"/>
        <v>3</v>
      </c>
      <c r="D157" s="1" t="s">
        <v>324</v>
      </c>
      <c r="E157" s="1"/>
      <c r="F157" s="1"/>
      <c r="G157" s="1" t="s">
        <v>594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108</v>
      </c>
      <c r="C158" s="1">
        <f t="shared" ca="1" si="15"/>
        <v>3</v>
      </c>
      <c r="D158" s="1" t="s">
        <v>324</v>
      </c>
      <c r="E158" s="1"/>
      <c r="F158" s="1"/>
      <c r="G158" s="1" t="s">
        <v>684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162</v>
      </c>
      <c r="C159" s="1">
        <f t="shared" ca="1" si="15"/>
        <v>3</v>
      </c>
      <c r="D159" s="1" t="s">
        <v>324</v>
      </c>
      <c r="E159" s="1"/>
      <c r="F159" s="1"/>
      <c r="G159" s="1" t="s">
        <v>684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458</v>
      </c>
      <c r="C160" s="1">
        <f t="shared" ca="1" si="15"/>
        <v>2</v>
      </c>
      <c r="D160" s="1" t="s">
        <v>324</v>
      </c>
      <c r="E160" s="1"/>
      <c r="F160" s="1"/>
      <c r="G160" s="1" t="s">
        <v>594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439</v>
      </c>
      <c r="C161" s="1">
        <f t="shared" ca="1" si="15"/>
        <v>3</v>
      </c>
      <c r="D161" s="1" t="s">
        <v>324</v>
      </c>
      <c r="E161" s="1"/>
      <c r="F161" s="1"/>
      <c r="G161" s="1" t="s">
        <v>594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108</v>
      </c>
      <c r="C162" s="1">
        <f t="shared" ca="1" si="15"/>
        <v>3</v>
      </c>
      <c r="D162" s="1" t="s">
        <v>324</v>
      </c>
      <c r="E162" s="1"/>
      <c r="F162" s="1"/>
      <c r="G162" s="1" t="s">
        <v>684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162</v>
      </c>
      <c r="C163" s="1">
        <f t="shared" ca="1" si="15"/>
        <v>3</v>
      </c>
      <c r="D163" s="1" t="s">
        <v>324</v>
      </c>
      <c r="E163" s="1"/>
      <c r="F163" s="1"/>
      <c r="G163" s="1" t="s">
        <v>684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459</v>
      </c>
      <c r="C164" s="1">
        <f t="shared" ca="1" si="15"/>
        <v>2</v>
      </c>
      <c r="D164" s="1" t="s">
        <v>324</v>
      </c>
      <c r="E164" s="1"/>
      <c r="F164" s="1"/>
      <c r="G164" s="1" t="s">
        <v>594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460</v>
      </c>
      <c r="C165" s="1">
        <f t="shared" ca="1" si="15"/>
        <v>3</v>
      </c>
      <c r="D165" s="1" t="s">
        <v>324</v>
      </c>
      <c r="E165" s="1"/>
      <c r="F165" s="1"/>
      <c r="G165" s="1" t="s">
        <v>682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461</v>
      </c>
      <c r="C166" s="1">
        <f t="shared" ca="1" si="15"/>
        <v>2</v>
      </c>
      <c r="D166" s="1" t="s">
        <v>324</v>
      </c>
      <c r="E166" s="1"/>
      <c r="F166" s="1"/>
      <c r="G166" s="1" t="s">
        <v>594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460</v>
      </c>
      <c r="C167" s="1">
        <f t="shared" ca="1" si="15"/>
        <v>3</v>
      </c>
      <c r="D167" s="1" t="s">
        <v>324</v>
      </c>
      <c r="E167" s="1"/>
      <c r="F167" s="1"/>
      <c r="G167" s="1" t="s">
        <v>682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462</v>
      </c>
      <c r="C168" s="1">
        <f t="shared" ca="1" si="15"/>
        <v>2</v>
      </c>
      <c r="D168" s="1" t="s">
        <v>324</v>
      </c>
      <c r="E168" s="1"/>
      <c r="F168" s="1"/>
      <c r="G168" s="1" t="s">
        <v>594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463</v>
      </c>
      <c r="C169" s="1">
        <f t="shared" ca="1" si="15"/>
        <v>3</v>
      </c>
      <c r="D169" s="1" t="s">
        <v>324</v>
      </c>
      <c r="E169" s="1"/>
      <c r="F169" s="1"/>
      <c r="G169" s="1" t="s">
        <v>682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464</v>
      </c>
      <c r="C170" s="1">
        <f t="shared" ca="1" si="15"/>
        <v>2</v>
      </c>
      <c r="D170" s="1" t="s">
        <v>324</v>
      </c>
      <c r="E170" s="1"/>
      <c r="F170" s="1"/>
      <c r="G170" s="1" t="s">
        <v>594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465</v>
      </c>
      <c r="C171" s="1">
        <f t="shared" ca="1" si="15"/>
        <v>2</v>
      </c>
      <c r="D171" s="1" t="s">
        <v>324</v>
      </c>
      <c r="E171" s="1"/>
      <c r="F171" s="1"/>
      <c r="G171" s="1" t="s">
        <v>594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466</v>
      </c>
      <c r="C172" s="1">
        <f t="shared" ca="1" si="15"/>
        <v>2</v>
      </c>
      <c r="D172" s="1" t="s">
        <v>324</v>
      </c>
      <c r="E172" s="1"/>
      <c r="F172" s="1"/>
      <c r="G172" s="1" t="s">
        <v>594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467</v>
      </c>
      <c r="C173" s="1">
        <f t="shared" ca="1" si="15"/>
        <v>2</v>
      </c>
      <c r="D173" s="1" t="s">
        <v>324</v>
      </c>
      <c r="E173" s="1"/>
      <c r="F173" s="1"/>
      <c r="G173" s="1" t="s">
        <v>594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468</v>
      </c>
      <c r="C174" s="1">
        <f t="shared" ca="1" si="15"/>
        <v>2</v>
      </c>
      <c r="D174" s="1" t="s">
        <v>324</v>
      </c>
      <c r="E174" s="1"/>
      <c r="F174" s="1"/>
      <c r="G174" s="1" t="s">
        <v>626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469</v>
      </c>
      <c r="C175" s="1">
        <f t="shared" ca="1" si="15"/>
        <v>2</v>
      </c>
      <c r="D175" s="1" t="s">
        <v>324</v>
      </c>
      <c r="E175" s="1"/>
      <c r="F175" s="1"/>
      <c r="G175" s="1" t="s">
        <v>682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470</v>
      </c>
      <c r="C176" s="1">
        <f t="shared" ca="1" si="15"/>
        <v>2</v>
      </c>
      <c r="D176" s="1" t="s">
        <v>324</v>
      </c>
      <c r="E176" s="1"/>
      <c r="F176" s="1"/>
      <c r="G176" s="1" t="s">
        <v>682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471</v>
      </c>
      <c r="C177" s="1">
        <f t="shared" ca="1" si="15"/>
        <v>2</v>
      </c>
      <c r="D177" s="1" t="s">
        <v>324</v>
      </c>
      <c r="E177" s="1"/>
      <c r="F177" s="1"/>
      <c r="G177" s="1" t="s">
        <v>682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472</v>
      </c>
      <c r="C178" s="1">
        <f t="shared" ca="1" si="15"/>
        <v>2</v>
      </c>
      <c r="D178" s="1" t="s">
        <v>324</v>
      </c>
      <c r="E178" s="1"/>
      <c r="F178" s="1"/>
      <c r="G178" s="1" t="s">
        <v>682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473</v>
      </c>
      <c r="C179" s="1">
        <f t="shared" ca="1" si="15"/>
        <v>2</v>
      </c>
      <c r="D179" s="1" t="s">
        <v>324</v>
      </c>
      <c r="E179" s="1"/>
      <c r="F179" s="1"/>
      <c r="G179" s="1" t="s">
        <v>682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474</v>
      </c>
      <c r="C180" s="1">
        <f t="shared" ca="1" si="15"/>
        <v>2</v>
      </c>
      <c r="D180" s="1" t="s">
        <v>324</v>
      </c>
      <c r="E180" s="1"/>
      <c r="F180" s="1"/>
      <c r="G180" s="1" t="s">
        <v>682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476</v>
      </c>
      <c r="B181" s="17" t="s">
        <v>475</v>
      </c>
      <c r="C181" s="1">
        <f t="shared" ca="1" si="15"/>
        <v>0</v>
      </c>
      <c r="D181" s="1" t="s">
        <v>324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372</v>
      </c>
      <c r="C182" s="1">
        <f t="shared" ca="1" si="15"/>
        <v>1</v>
      </c>
      <c r="D182" s="1" t="s">
        <v>324</v>
      </c>
      <c r="E182" s="17"/>
      <c r="F182" s="17"/>
      <c r="G182" s="17" t="s">
        <v>594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84</v>
      </c>
      <c r="C183" s="1">
        <f t="shared" ca="1" si="15"/>
        <v>1</v>
      </c>
      <c r="D183" s="1" t="s">
        <v>324</v>
      </c>
      <c r="E183" s="17"/>
      <c r="F183" s="17"/>
      <c r="G183" s="17" t="s">
        <v>594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477</v>
      </c>
      <c r="C184" s="1">
        <f t="shared" ca="1" si="15"/>
        <v>1</v>
      </c>
      <c r="D184" s="1" t="s">
        <v>324</v>
      </c>
      <c r="E184" s="17"/>
      <c r="F184" s="17"/>
      <c r="G184" s="17" t="s">
        <v>594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483</v>
      </c>
      <c r="C185" s="1">
        <f t="shared" ca="1" si="15"/>
        <v>2</v>
      </c>
      <c r="D185" s="1" t="s">
        <v>324</v>
      </c>
      <c r="E185" s="17"/>
      <c r="F185" s="17"/>
      <c r="G185" s="17" t="s">
        <v>682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478</v>
      </c>
      <c r="C186" s="1">
        <f t="shared" ca="1" si="15"/>
        <v>1</v>
      </c>
      <c r="D186" s="1" t="s">
        <v>324</v>
      </c>
      <c r="E186" s="17"/>
      <c r="F186" s="17"/>
      <c r="G186" s="17" t="s">
        <v>594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484</v>
      </c>
      <c r="C187" s="1">
        <f t="shared" ca="1" si="15"/>
        <v>2</v>
      </c>
      <c r="D187" s="1" t="s">
        <v>324</v>
      </c>
      <c r="E187" s="17"/>
      <c r="F187" s="17"/>
      <c r="G187" s="17" t="s">
        <v>682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479</v>
      </c>
      <c r="C188" s="1">
        <f t="shared" ca="1" si="15"/>
        <v>1</v>
      </c>
      <c r="D188" s="1" t="s">
        <v>324</v>
      </c>
      <c r="E188" s="17"/>
      <c r="F188" s="17"/>
      <c r="G188" s="17" t="s">
        <v>594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485</v>
      </c>
      <c r="C189" s="1">
        <f t="shared" ca="1" si="15"/>
        <v>2</v>
      </c>
      <c r="D189" s="1" t="s">
        <v>324</v>
      </c>
      <c r="E189" s="17"/>
      <c r="F189" s="17"/>
      <c r="G189" s="17" t="s">
        <v>682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480</v>
      </c>
      <c r="C190" s="1">
        <f t="shared" ca="1" si="15"/>
        <v>1</v>
      </c>
      <c r="D190" s="1" t="s">
        <v>324</v>
      </c>
      <c r="E190" s="17"/>
      <c r="F190" s="17"/>
      <c r="G190" s="17" t="s">
        <v>594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486</v>
      </c>
      <c r="C191" s="1">
        <f t="shared" ca="1" si="15"/>
        <v>2</v>
      </c>
      <c r="D191" s="1" t="s">
        <v>324</v>
      </c>
      <c r="E191" s="17"/>
      <c r="F191" s="17"/>
      <c r="G191" s="17" t="s">
        <v>682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481</v>
      </c>
      <c r="C192" s="1">
        <f t="shared" ca="1" si="15"/>
        <v>1</v>
      </c>
      <c r="D192" s="1" t="s">
        <v>324</v>
      </c>
      <c r="E192" s="17"/>
      <c r="F192" s="17"/>
      <c r="G192" s="17" t="s">
        <v>594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482</v>
      </c>
      <c r="C193" s="1">
        <f t="shared" ca="1" si="15"/>
        <v>2</v>
      </c>
      <c r="D193" s="1" t="s">
        <v>324</v>
      </c>
      <c r="E193" s="17"/>
      <c r="F193" s="17"/>
      <c r="G193" s="17" t="s">
        <v>682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488</v>
      </c>
      <c r="B194" s="6" t="s">
        <v>487</v>
      </c>
      <c r="C194" s="1">
        <f t="shared" ca="1" si="15"/>
        <v>0</v>
      </c>
      <c r="D194" s="1" t="s">
        <v>324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498</v>
      </c>
      <c r="C195" s="1">
        <f t="shared" ref="C195:C258" ca="1" si="21">indent(B195)</f>
        <v>1</v>
      </c>
      <c r="D195" s="1" t="s">
        <v>324</v>
      </c>
      <c r="E195" s="1"/>
      <c r="F195" s="1"/>
      <c r="G195" s="1" t="s">
        <v>626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499</v>
      </c>
      <c r="C196" s="1">
        <f t="shared" ca="1" si="21"/>
        <v>2</v>
      </c>
      <c r="D196" s="1" t="s">
        <v>324</v>
      </c>
      <c r="E196" s="1"/>
      <c r="F196" s="1"/>
      <c r="G196" s="1" t="s">
        <v>682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497</v>
      </c>
      <c r="C197" s="1">
        <f t="shared" ca="1" si="21"/>
        <v>1</v>
      </c>
      <c r="D197" s="1" t="s">
        <v>324</v>
      </c>
      <c r="E197" s="1"/>
      <c r="F197" s="1"/>
      <c r="G197" s="1" t="s">
        <v>626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500</v>
      </c>
      <c r="C198" s="1">
        <f t="shared" ca="1" si="21"/>
        <v>2</v>
      </c>
      <c r="D198" s="1" t="s">
        <v>324</v>
      </c>
      <c r="E198" s="1"/>
      <c r="F198" s="1"/>
      <c r="G198" s="1" t="s">
        <v>682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303</v>
      </c>
      <c r="C199" s="1">
        <f t="shared" ca="1" si="21"/>
        <v>1</v>
      </c>
      <c r="D199" s="1" t="s">
        <v>324</v>
      </c>
      <c r="E199" s="1"/>
      <c r="F199" s="1"/>
      <c r="G199" s="1" t="s">
        <v>626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332</v>
      </c>
      <c r="C200" s="1">
        <f t="shared" ca="1" si="21"/>
        <v>2</v>
      </c>
      <c r="D200" s="1" t="s">
        <v>324</v>
      </c>
      <c r="E200" s="1"/>
      <c r="F200" s="1"/>
      <c r="G200" s="1" t="s">
        <v>682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304</v>
      </c>
      <c r="C201" s="1">
        <f t="shared" ca="1" si="21"/>
        <v>1</v>
      </c>
      <c r="D201" s="1" t="s">
        <v>324</v>
      </c>
      <c r="E201" s="1"/>
      <c r="F201" s="1"/>
      <c r="G201" s="1" t="s">
        <v>626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333</v>
      </c>
      <c r="C202" s="1">
        <f t="shared" ca="1" si="21"/>
        <v>2</v>
      </c>
      <c r="D202" s="1" t="s">
        <v>324</v>
      </c>
      <c r="E202" s="1"/>
      <c r="F202" s="1"/>
      <c r="G202" s="1" t="s">
        <v>682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392</v>
      </c>
      <c r="C203" s="1">
        <f t="shared" ca="1" si="21"/>
        <v>1</v>
      </c>
      <c r="D203" s="1" t="s">
        <v>324</v>
      </c>
      <c r="E203" s="1"/>
      <c r="F203" s="1"/>
      <c r="G203" s="1" t="s">
        <v>626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393</v>
      </c>
      <c r="C204" s="1">
        <f t="shared" ca="1" si="21"/>
        <v>2</v>
      </c>
      <c r="D204" s="1" t="s">
        <v>324</v>
      </c>
      <c r="E204" s="1"/>
      <c r="F204" s="1"/>
      <c r="G204" s="1" t="s">
        <v>682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489</v>
      </c>
      <c r="C205" s="1">
        <f t="shared" ca="1" si="21"/>
        <v>1</v>
      </c>
      <c r="D205" s="1" t="s">
        <v>324</v>
      </c>
      <c r="E205" s="1"/>
      <c r="F205" s="1"/>
      <c r="G205" s="1" t="s">
        <v>626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490</v>
      </c>
      <c r="C206" s="1">
        <f t="shared" ca="1" si="21"/>
        <v>1</v>
      </c>
      <c r="D206" s="1" t="s">
        <v>324</v>
      </c>
      <c r="E206" s="1"/>
      <c r="F206" s="1"/>
      <c r="G206" s="1" t="s">
        <v>626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505</v>
      </c>
      <c r="C207" s="1">
        <f t="shared" ca="1" si="21"/>
        <v>2</v>
      </c>
      <c r="D207" s="1" t="s">
        <v>324</v>
      </c>
      <c r="E207" s="1"/>
      <c r="F207" s="1"/>
      <c r="G207" s="1" t="s">
        <v>682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506</v>
      </c>
      <c r="C208" s="1">
        <f t="shared" ca="1" si="21"/>
        <v>2</v>
      </c>
      <c r="D208" s="1" t="s">
        <v>324</v>
      </c>
      <c r="E208" s="1"/>
      <c r="F208" s="1"/>
      <c r="G208" s="1" t="s">
        <v>682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507</v>
      </c>
      <c r="C209" s="1">
        <f t="shared" ca="1" si="21"/>
        <v>2</v>
      </c>
      <c r="D209" s="1" t="s">
        <v>324</v>
      </c>
      <c r="E209" s="1"/>
      <c r="F209" s="1"/>
      <c r="G209" s="1" t="s">
        <v>626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508</v>
      </c>
      <c r="C210" s="1">
        <f t="shared" ca="1" si="21"/>
        <v>3</v>
      </c>
      <c r="D210" s="1" t="s">
        <v>324</v>
      </c>
      <c r="E210" s="1"/>
      <c r="F210" s="1"/>
      <c r="G210" s="1" t="s">
        <v>682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509</v>
      </c>
      <c r="C211" s="1">
        <f t="shared" ca="1" si="21"/>
        <v>2</v>
      </c>
      <c r="D211" s="1" t="s">
        <v>324</v>
      </c>
      <c r="E211" s="1"/>
      <c r="F211" s="1"/>
      <c r="G211" s="1" t="s">
        <v>626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510</v>
      </c>
      <c r="C212" s="1">
        <f t="shared" ca="1" si="21"/>
        <v>3</v>
      </c>
      <c r="D212" s="1" t="s">
        <v>324</v>
      </c>
      <c r="E212" s="1"/>
      <c r="F212" s="1"/>
      <c r="G212" s="1" t="s">
        <v>682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513</v>
      </c>
      <c r="C213" s="1">
        <f t="shared" ca="1" si="21"/>
        <v>2</v>
      </c>
      <c r="D213" s="1" t="s">
        <v>324</v>
      </c>
      <c r="E213" s="1"/>
      <c r="F213" s="1"/>
      <c r="G213" s="1" t="s">
        <v>684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491</v>
      </c>
      <c r="C214" s="1">
        <f t="shared" ca="1" si="21"/>
        <v>1</v>
      </c>
      <c r="D214" s="1" t="s">
        <v>324</v>
      </c>
      <c r="E214" s="1"/>
      <c r="F214" s="1"/>
      <c r="G214" s="1" t="s">
        <v>626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511</v>
      </c>
      <c r="C215" s="1">
        <f t="shared" ca="1" si="21"/>
        <v>2</v>
      </c>
      <c r="D215" s="1" t="s">
        <v>324</v>
      </c>
      <c r="E215" s="1"/>
      <c r="F215" s="1"/>
      <c r="G215" s="1" t="s">
        <v>682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512</v>
      </c>
      <c r="C216" s="1">
        <f t="shared" ca="1" si="21"/>
        <v>2</v>
      </c>
      <c r="D216" s="1" t="s">
        <v>324</v>
      </c>
      <c r="E216" s="1"/>
      <c r="F216" s="1"/>
      <c r="G216" s="1" t="s">
        <v>682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507</v>
      </c>
      <c r="C217" s="1">
        <f t="shared" ca="1" si="21"/>
        <v>2</v>
      </c>
      <c r="D217" s="1" t="s">
        <v>324</v>
      </c>
      <c r="E217" s="1"/>
      <c r="F217" s="1"/>
      <c r="G217" s="1" t="s">
        <v>626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508</v>
      </c>
      <c r="C218" s="1">
        <f t="shared" ca="1" si="21"/>
        <v>3</v>
      </c>
      <c r="D218" s="1" t="s">
        <v>324</v>
      </c>
      <c r="E218" s="1"/>
      <c r="F218" s="1"/>
      <c r="G218" s="1" t="s">
        <v>682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509</v>
      </c>
      <c r="C219" s="1">
        <f t="shared" ca="1" si="21"/>
        <v>2</v>
      </c>
      <c r="D219" s="1" t="s">
        <v>324</v>
      </c>
      <c r="E219" s="1"/>
      <c r="F219" s="1"/>
      <c r="G219" s="1" t="s">
        <v>626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510</v>
      </c>
      <c r="C220" s="1">
        <f t="shared" ca="1" si="21"/>
        <v>3</v>
      </c>
      <c r="D220" s="1" t="s">
        <v>324</v>
      </c>
      <c r="E220" s="1"/>
      <c r="F220" s="1"/>
      <c r="G220" s="1" t="s">
        <v>682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513</v>
      </c>
      <c r="C221" s="1">
        <f t="shared" ca="1" si="21"/>
        <v>2</v>
      </c>
      <c r="D221" s="1" t="s">
        <v>324</v>
      </c>
      <c r="E221" s="1"/>
      <c r="F221" s="1"/>
      <c r="G221" s="1" t="s">
        <v>684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492</v>
      </c>
      <c r="C222" s="1">
        <f t="shared" ca="1" si="21"/>
        <v>1</v>
      </c>
      <c r="D222" s="1" t="s">
        <v>324</v>
      </c>
      <c r="E222" s="1"/>
      <c r="F222" s="1"/>
      <c r="G222" s="1" t="s">
        <v>626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514</v>
      </c>
      <c r="C223" s="1">
        <f t="shared" ca="1" si="21"/>
        <v>2</v>
      </c>
      <c r="D223" s="1" t="s">
        <v>324</v>
      </c>
      <c r="E223" s="1"/>
      <c r="F223" s="1"/>
      <c r="G223" s="1" t="s">
        <v>682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515</v>
      </c>
      <c r="C224" s="1">
        <f t="shared" ca="1" si="21"/>
        <v>2</v>
      </c>
      <c r="D224" s="1" t="s">
        <v>324</v>
      </c>
      <c r="E224" s="1"/>
      <c r="F224" s="1"/>
      <c r="G224" s="1" t="s">
        <v>682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507</v>
      </c>
      <c r="C225" s="1">
        <f t="shared" ca="1" si="21"/>
        <v>2</v>
      </c>
      <c r="D225" s="1" t="s">
        <v>324</v>
      </c>
      <c r="E225" s="1"/>
      <c r="F225" s="1"/>
      <c r="G225" s="1" t="s">
        <v>626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508</v>
      </c>
      <c r="C226" s="1">
        <f t="shared" ca="1" si="21"/>
        <v>3</v>
      </c>
      <c r="D226" s="1" t="s">
        <v>324</v>
      </c>
      <c r="E226" s="1"/>
      <c r="F226" s="1"/>
      <c r="G226" s="1" t="s">
        <v>682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509</v>
      </c>
      <c r="C227" s="1">
        <f t="shared" ca="1" si="21"/>
        <v>2</v>
      </c>
      <c r="D227" s="1" t="s">
        <v>324</v>
      </c>
      <c r="E227" s="1"/>
      <c r="F227" s="1"/>
      <c r="G227" s="1" t="s">
        <v>626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510</v>
      </c>
      <c r="C228" s="1">
        <f t="shared" ca="1" si="21"/>
        <v>3</v>
      </c>
      <c r="D228" s="1" t="s">
        <v>324</v>
      </c>
      <c r="E228" s="1"/>
      <c r="F228" s="1"/>
      <c r="G228" s="1" t="s">
        <v>682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513</v>
      </c>
      <c r="C229" s="1">
        <f t="shared" ca="1" si="21"/>
        <v>2</v>
      </c>
      <c r="D229" s="1" t="s">
        <v>324</v>
      </c>
      <c r="E229" s="1"/>
      <c r="F229" s="1"/>
      <c r="G229" s="1" t="s">
        <v>684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493</v>
      </c>
      <c r="C230" s="1">
        <f t="shared" ca="1" si="21"/>
        <v>1</v>
      </c>
      <c r="D230" s="1" t="s">
        <v>324</v>
      </c>
      <c r="E230" s="1"/>
      <c r="F230" s="1"/>
      <c r="G230" s="1" t="s">
        <v>626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494</v>
      </c>
      <c r="C231" s="1">
        <f t="shared" ca="1" si="21"/>
        <v>1</v>
      </c>
      <c r="D231" s="1" t="s">
        <v>324</v>
      </c>
      <c r="E231" s="1"/>
      <c r="F231" s="1"/>
      <c r="G231" s="1" t="s">
        <v>626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495</v>
      </c>
      <c r="C232" s="1">
        <f t="shared" ca="1" si="21"/>
        <v>1</v>
      </c>
      <c r="D232" s="1" t="s">
        <v>324</v>
      </c>
      <c r="E232" s="1"/>
      <c r="F232" s="1"/>
      <c r="G232" s="1" t="s">
        <v>626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394</v>
      </c>
      <c r="C233" s="1">
        <f t="shared" ca="1" si="21"/>
        <v>1</v>
      </c>
      <c r="D233" s="1" t="s">
        <v>324</v>
      </c>
      <c r="E233" s="1"/>
      <c r="F233" s="1"/>
      <c r="G233" s="1" t="s">
        <v>626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395</v>
      </c>
      <c r="C234" s="1">
        <f t="shared" ca="1" si="21"/>
        <v>2</v>
      </c>
      <c r="D234" s="1" t="s">
        <v>324</v>
      </c>
      <c r="E234" s="1"/>
      <c r="F234" s="1"/>
      <c r="G234" s="1" t="s">
        <v>626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397</v>
      </c>
      <c r="C235" s="1">
        <f t="shared" ca="1" si="21"/>
        <v>3</v>
      </c>
      <c r="D235" s="1" t="s">
        <v>324</v>
      </c>
      <c r="E235" s="1"/>
      <c r="F235" s="1"/>
      <c r="G235" s="1" t="s">
        <v>682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396</v>
      </c>
      <c r="C236" s="1">
        <f t="shared" ca="1" si="21"/>
        <v>2</v>
      </c>
      <c r="D236" s="1" t="s">
        <v>324</v>
      </c>
      <c r="E236" s="1"/>
      <c r="F236" s="1"/>
      <c r="G236" s="1" t="s">
        <v>626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398</v>
      </c>
      <c r="C237" s="1">
        <f t="shared" ca="1" si="21"/>
        <v>3</v>
      </c>
      <c r="D237" s="1" t="s">
        <v>324</v>
      </c>
      <c r="E237" s="1"/>
      <c r="F237" s="1"/>
      <c r="G237" s="1" t="s">
        <v>682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162</v>
      </c>
      <c r="C238" s="1">
        <f t="shared" ca="1" si="21"/>
        <v>2</v>
      </c>
      <c r="D238" s="1" t="s">
        <v>324</v>
      </c>
      <c r="E238" s="1"/>
      <c r="F238" s="1"/>
      <c r="G238" s="1" t="s">
        <v>684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496</v>
      </c>
      <c r="C239" s="1">
        <f t="shared" ca="1" si="21"/>
        <v>1</v>
      </c>
      <c r="D239" s="1" t="s">
        <v>324</v>
      </c>
      <c r="E239" s="1"/>
      <c r="F239" s="1"/>
      <c r="G239" s="1" t="s">
        <v>626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501</v>
      </c>
      <c r="C240" s="1">
        <f t="shared" ca="1" si="21"/>
        <v>2</v>
      </c>
      <c r="D240" s="1" t="s">
        <v>324</v>
      </c>
      <c r="E240" s="1"/>
      <c r="F240" s="1"/>
      <c r="G240" s="1" t="s">
        <v>626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503</v>
      </c>
      <c r="C241" s="1">
        <f t="shared" ca="1" si="21"/>
        <v>3</v>
      </c>
      <c r="D241" s="1" t="s">
        <v>324</v>
      </c>
      <c r="E241" s="1"/>
      <c r="F241" s="1"/>
      <c r="G241" s="1" t="s">
        <v>682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502</v>
      </c>
      <c r="C242" s="1">
        <f t="shared" ca="1" si="21"/>
        <v>2</v>
      </c>
      <c r="D242" s="1" t="s">
        <v>324</v>
      </c>
      <c r="E242" s="1"/>
      <c r="F242" s="1"/>
      <c r="G242" s="1" t="s">
        <v>626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504</v>
      </c>
      <c r="C243" s="1">
        <f t="shared" ca="1" si="21"/>
        <v>3</v>
      </c>
      <c r="D243" s="1" t="s">
        <v>324</v>
      </c>
      <c r="E243" s="1"/>
      <c r="F243" s="1"/>
      <c r="G243" s="1" t="s">
        <v>682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362</v>
      </c>
      <c r="C244" s="1">
        <f t="shared" ca="1" si="21"/>
        <v>1</v>
      </c>
      <c r="D244" s="1" t="s">
        <v>324</v>
      </c>
      <c r="E244" s="1"/>
      <c r="F244" s="1"/>
      <c r="G244" s="1" t="s">
        <v>626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516</v>
      </c>
      <c r="C245" s="1">
        <f t="shared" ca="1" si="21"/>
        <v>2</v>
      </c>
      <c r="D245" s="1" t="s">
        <v>324</v>
      </c>
      <c r="E245" s="1"/>
      <c r="F245" s="1"/>
      <c r="G245" s="1" t="s">
        <v>682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518</v>
      </c>
      <c r="B246" s="1" t="s">
        <v>517</v>
      </c>
      <c r="C246" s="1">
        <f t="shared" ca="1" si="21"/>
        <v>0</v>
      </c>
      <c r="D246" s="1" t="s">
        <v>324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301</v>
      </c>
      <c r="C247" s="1">
        <f t="shared" ca="1" si="21"/>
        <v>1</v>
      </c>
      <c r="D247" s="1" t="s">
        <v>324</v>
      </c>
      <c r="E247" s="1"/>
      <c r="F247" s="1"/>
      <c r="G247" s="1" t="s">
        <v>626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326</v>
      </c>
      <c r="C248" s="1">
        <f t="shared" ca="1" si="21"/>
        <v>2</v>
      </c>
      <c r="D248" s="1" t="s">
        <v>324</v>
      </c>
      <c r="E248" s="1"/>
      <c r="F248" s="1"/>
      <c r="G248" s="1" t="s">
        <v>682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372</v>
      </c>
      <c r="C249" s="1">
        <f t="shared" ca="1" si="21"/>
        <v>1</v>
      </c>
      <c r="D249" s="1" t="s">
        <v>324</v>
      </c>
      <c r="E249" s="1"/>
      <c r="F249" s="1"/>
      <c r="G249" s="1" t="s">
        <v>626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84</v>
      </c>
      <c r="C250" s="1">
        <f t="shared" ca="1" si="21"/>
        <v>1</v>
      </c>
      <c r="D250" s="1" t="s">
        <v>324</v>
      </c>
      <c r="E250" s="1"/>
      <c r="F250" s="1"/>
      <c r="G250" s="1" t="s">
        <v>626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519</v>
      </c>
      <c r="C251" s="1">
        <f t="shared" ca="1" si="21"/>
        <v>2</v>
      </c>
      <c r="D251" s="1" t="s">
        <v>324</v>
      </c>
      <c r="E251" s="1"/>
      <c r="F251" s="1"/>
      <c r="G251" s="1" t="s">
        <v>626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549</v>
      </c>
      <c r="C252" s="1">
        <f t="shared" ca="1" si="21"/>
        <v>3</v>
      </c>
      <c r="D252" s="1" t="s">
        <v>324</v>
      </c>
      <c r="E252" s="1"/>
      <c r="F252" s="1"/>
      <c r="G252" s="1" t="s">
        <v>682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520</v>
      </c>
      <c r="C253" s="1">
        <f t="shared" ca="1" si="21"/>
        <v>2</v>
      </c>
      <c r="D253" s="1" t="s">
        <v>324</v>
      </c>
      <c r="E253" s="1"/>
      <c r="F253" s="1"/>
      <c r="G253" s="1" t="s">
        <v>626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550</v>
      </c>
      <c r="C254" s="1">
        <f t="shared" ca="1" si="21"/>
        <v>3</v>
      </c>
      <c r="D254" s="1" t="s">
        <v>324</v>
      </c>
      <c r="E254" s="1"/>
      <c r="F254" s="1"/>
      <c r="G254" s="1" t="s">
        <v>682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521</v>
      </c>
      <c r="C255" s="1">
        <f t="shared" ca="1" si="21"/>
        <v>2</v>
      </c>
      <c r="D255" s="1" t="s">
        <v>324</v>
      </c>
      <c r="E255" s="1"/>
      <c r="F255" s="1"/>
      <c r="G255" s="1" t="s">
        <v>626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522</v>
      </c>
      <c r="C256" s="1">
        <f t="shared" ca="1" si="21"/>
        <v>2</v>
      </c>
      <c r="D256" s="1" t="s">
        <v>324</v>
      </c>
      <c r="E256" s="1"/>
      <c r="F256" s="1"/>
      <c r="G256" s="1" t="s">
        <v>626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523</v>
      </c>
      <c r="C257" s="1">
        <f t="shared" ca="1" si="21"/>
        <v>2</v>
      </c>
      <c r="D257" s="1" t="s">
        <v>324</v>
      </c>
      <c r="E257" s="1"/>
      <c r="F257" s="1"/>
      <c r="G257" s="1" t="s">
        <v>626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524</v>
      </c>
      <c r="C258" s="1">
        <f t="shared" ca="1" si="21"/>
        <v>2</v>
      </c>
      <c r="D258" s="1" t="s">
        <v>324</v>
      </c>
      <c r="E258" s="1"/>
      <c r="F258" s="1"/>
      <c r="G258" s="1" t="s">
        <v>626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525</v>
      </c>
      <c r="C259" s="1">
        <f t="shared" ref="C259:C322" ca="1" si="28">indent(B259)</f>
        <v>2</v>
      </c>
      <c r="D259" s="1" t="s">
        <v>324</v>
      </c>
      <c r="E259" s="1"/>
      <c r="F259" s="1"/>
      <c r="G259" s="1" t="s">
        <v>626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526</v>
      </c>
      <c r="C260" s="1">
        <f t="shared" ca="1" si="28"/>
        <v>2</v>
      </c>
      <c r="D260" s="1" t="s">
        <v>324</v>
      </c>
      <c r="E260" s="1"/>
      <c r="F260" s="1"/>
      <c r="G260" s="1" t="s">
        <v>626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527</v>
      </c>
      <c r="C261" s="1">
        <f t="shared" ca="1" si="28"/>
        <v>2</v>
      </c>
      <c r="D261" s="1" t="s">
        <v>324</v>
      </c>
      <c r="E261" s="1"/>
      <c r="F261" s="1"/>
      <c r="G261" s="1" t="s">
        <v>626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528</v>
      </c>
      <c r="C262" s="1">
        <f t="shared" ca="1" si="28"/>
        <v>2</v>
      </c>
      <c r="D262" s="1" t="s">
        <v>324</v>
      </c>
      <c r="E262" s="1"/>
      <c r="F262" s="1"/>
      <c r="G262" s="1" t="s">
        <v>626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529</v>
      </c>
      <c r="C263" s="1">
        <f t="shared" ca="1" si="28"/>
        <v>2</v>
      </c>
      <c r="D263" s="1" t="s">
        <v>324</v>
      </c>
      <c r="E263" s="1"/>
      <c r="F263" s="1"/>
      <c r="G263" s="1" t="s">
        <v>626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530</v>
      </c>
      <c r="C264" s="1">
        <f t="shared" ca="1" si="28"/>
        <v>2</v>
      </c>
      <c r="D264" s="1" t="s">
        <v>324</v>
      </c>
      <c r="E264" s="1"/>
      <c r="F264" s="1"/>
      <c r="G264" s="1" t="s">
        <v>626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531</v>
      </c>
      <c r="C265" s="1">
        <f t="shared" ca="1" si="28"/>
        <v>2</v>
      </c>
      <c r="D265" s="1" t="s">
        <v>324</v>
      </c>
      <c r="E265" s="1"/>
      <c r="F265" s="1"/>
      <c r="G265" s="1" t="s">
        <v>626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532</v>
      </c>
      <c r="C266" s="1">
        <f t="shared" ca="1" si="28"/>
        <v>2</v>
      </c>
      <c r="D266" s="1" t="s">
        <v>324</v>
      </c>
      <c r="E266" s="1"/>
      <c r="F266" s="1"/>
      <c r="G266" s="1" t="s">
        <v>626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533</v>
      </c>
      <c r="C267" s="1">
        <f t="shared" ca="1" si="28"/>
        <v>2</v>
      </c>
      <c r="D267" s="1" t="s">
        <v>324</v>
      </c>
      <c r="E267" s="1"/>
      <c r="F267" s="1"/>
      <c r="G267" s="1" t="s">
        <v>626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534</v>
      </c>
      <c r="C268" s="1">
        <f t="shared" ca="1" si="28"/>
        <v>2</v>
      </c>
      <c r="D268" s="1" t="s">
        <v>324</v>
      </c>
      <c r="E268" s="1"/>
      <c r="F268" s="1"/>
      <c r="G268" s="1" t="s">
        <v>626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535</v>
      </c>
      <c r="C269" s="1">
        <f t="shared" ca="1" si="28"/>
        <v>2</v>
      </c>
      <c r="D269" s="1" t="s">
        <v>324</v>
      </c>
      <c r="E269" s="1"/>
      <c r="F269" s="1"/>
      <c r="G269" s="1" t="s">
        <v>626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536</v>
      </c>
      <c r="C270" s="1">
        <f t="shared" ca="1" si="28"/>
        <v>2</v>
      </c>
      <c r="D270" s="1" t="s">
        <v>324</v>
      </c>
      <c r="E270" s="1"/>
      <c r="F270" s="1"/>
      <c r="G270" s="1" t="s">
        <v>626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537</v>
      </c>
      <c r="C271" s="1">
        <f t="shared" ca="1" si="28"/>
        <v>2</v>
      </c>
      <c r="D271" s="1" t="s">
        <v>324</v>
      </c>
      <c r="E271" s="1"/>
      <c r="F271" s="1"/>
      <c r="G271" s="1" t="s">
        <v>626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538</v>
      </c>
      <c r="C272" s="1">
        <f t="shared" ca="1" si="28"/>
        <v>2</v>
      </c>
      <c r="D272" s="1" t="s">
        <v>324</v>
      </c>
      <c r="E272" s="1"/>
      <c r="F272" s="1"/>
      <c r="G272" s="1" t="s">
        <v>626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539</v>
      </c>
      <c r="C273" s="1">
        <f t="shared" ca="1" si="28"/>
        <v>2</v>
      </c>
      <c r="D273" s="1" t="s">
        <v>324</v>
      </c>
      <c r="E273" s="1"/>
      <c r="F273" s="1"/>
      <c r="G273" s="1" t="s">
        <v>626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540</v>
      </c>
      <c r="C274" s="1">
        <f t="shared" ca="1" si="28"/>
        <v>2</v>
      </c>
      <c r="D274" s="1" t="s">
        <v>324</v>
      </c>
      <c r="E274" s="1"/>
      <c r="F274" s="1"/>
      <c r="G274" s="1" t="s">
        <v>626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541</v>
      </c>
      <c r="C275" s="1">
        <f t="shared" ca="1" si="28"/>
        <v>2</v>
      </c>
      <c r="D275" s="1" t="s">
        <v>324</v>
      </c>
      <c r="E275" s="1"/>
      <c r="F275" s="1"/>
      <c r="G275" s="1" t="s">
        <v>626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542</v>
      </c>
      <c r="C276" s="1">
        <f t="shared" ca="1" si="28"/>
        <v>2</v>
      </c>
      <c r="D276" s="1" t="s">
        <v>324</v>
      </c>
      <c r="E276" s="1"/>
      <c r="F276" s="1"/>
      <c r="G276" s="1" t="s">
        <v>626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543</v>
      </c>
      <c r="C277" s="1">
        <f t="shared" ca="1" si="28"/>
        <v>2</v>
      </c>
      <c r="D277" s="1" t="s">
        <v>324</v>
      </c>
      <c r="E277" s="1"/>
      <c r="F277" s="1"/>
      <c r="G277" s="1" t="s">
        <v>626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544</v>
      </c>
      <c r="C278" s="1">
        <f t="shared" ca="1" si="28"/>
        <v>2</v>
      </c>
      <c r="D278" s="1" t="s">
        <v>324</v>
      </c>
      <c r="E278" s="1"/>
      <c r="F278" s="1"/>
      <c r="G278" s="1" t="s">
        <v>626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545</v>
      </c>
      <c r="C279" s="1">
        <f t="shared" ca="1" si="28"/>
        <v>2</v>
      </c>
      <c r="D279" s="1" t="s">
        <v>324</v>
      </c>
      <c r="E279" s="1"/>
      <c r="F279" s="1"/>
      <c r="G279" s="1" t="s">
        <v>626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546</v>
      </c>
      <c r="C280" s="1">
        <f t="shared" ca="1" si="28"/>
        <v>2</v>
      </c>
      <c r="D280" s="1" t="s">
        <v>324</v>
      </c>
      <c r="E280" s="1"/>
      <c r="F280" s="1"/>
      <c r="G280" s="1" t="s">
        <v>626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547</v>
      </c>
      <c r="C281" s="1">
        <f t="shared" ca="1" si="28"/>
        <v>2</v>
      </c>
      <c r="D281" s="1" t="s">
        <v>324</v>
      </c>
      <c r="E281" s="1"/>
      <c r="F281" s="1"/>
      <c r="G281" s="1" t="s">
        <v>626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548</v>
      </c>
      <c r="C282" s="1">
        <f t="shared" ca="1" si="28"/>
        <v>2</v>
      </c>
      <c r="D282" s="1" t="s">
        <v>324</v>
      </c>
      <c r="E282" s="1"/>
      <c r="F282" s="1"/>
      <c r="G282" s="1" t="s">
        <v>626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552</v>
      </c>
      <c r="C283" s="1">
        <f t="shared" ca="1" si="28"/>
        <v>2</v>
      </c>
      <c r="D283" s="1" t="s">
        <v>324</v>
      </c>
      <c r="E283" s="1"/>
      <c r="F283" s="1"/>
      <c r="G283" s="1" t="s">
        <v>626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555</v>
      </c>
      <c r="C284" s="1">
        <f t="shared" ca="1" si="28"/>
        <v>3</v>
      </c>
      <c r="D284" s="1" t="s">
        <v>324</v>
      </c>
      <c r="E284" s="1"/>
      <c r="F284" s="1"/>
      <c r="G284" s="1" t="s">
        <v>682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553</v>
      </c>
      <c r="C285" s="1">
        <f t="shared" ca="1" si="28"/>
        <v>3</v>
      </c>
      <c r="D285" s="1" t="s">
        <v>324</v>
      </c>
      <c r="E285" s="1"/>
      <c r="F285" s="1"/>
      <c r="G285" s="1" t="s">
        <v>684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554</v>
      </c>
      <c r="C286" s="1">
        <f t="shared" ca="1" si="28"/>
        <v>2</v>
      </c>
      <c r="D286" s="1" t="s">
        <v>324</v>
      </c>
      <c r="E286" s="1"/>
      <c r="F286" s="1"/>
      <c r="G286" s="1" t="s">
        <v>626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555</v>
      </c>
      <c r="C287" s="1">
        <f t="shared" ca="1" si="28"/>
        <v>3</v>
      </c>
      <c r="D287" s="1" t="s">
        <v>324</v>
      </c>
      <c r="E287" s="1"/>
      <c r="F287" s="1"/>
      <c r="G287" s="1" t="s">
        <v>682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553</v>
      </c>
      <c r="C288" s="1">
        <f t="shared" ca="1" si="28"/>
        <v>3</v>
      </c>
      <c r="D288" s="1" t="s">
        <v>324</v>
      </c>
      <c r="E288" s="1"/>
      <c r="F288" s="1"/>
      <c r="G288" s="1" t="s">
        <v>684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558</v>
      </c>
      <c r="C289" s="1">
        <f t="shared" ca="1" si="28"/>
        <v>2</v>
      </c>
      <c r="D289" s="1" t="s">
        <v>324</v>
      </c>
      <c r="E289" s="1"/>
      <c r="F289" s="1"/>
      <c r="G289" s="1" t="s">
        <v>626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555</v>
      </c>
      <c r="C290" s="1">
        <f t="shared" ca="1" si="28"/>
        <v>3</v>
      </c>
      <c r="D290" s="1" t="s">
        <v>324</v>
      </c>
      <c r="E290" s="1"/>
      <c r="F290" s="1"/>
      <c r="G290" s="1" t="s">
        <v>682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553</v>
      </c>
      <c r="C291" s="1">
        <f t="shared" ca="1" si="28"/>
        <v>3</v>
      </c>
      <c r="D291" s="1" t="s">
        <v>324</v>
      </c>
      <c r="E291" s="1"/>
      <c r="F291" s="1"/>
      <c r="G291" s="1" t="s">
        <v>684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557</v>
      </c>
      <c r="C292" s="1">
        <f t="shared" ca="1" si="28"/>
        <v>2</v>
      </c>
      <c r="D292" s="1" t="s">
        <v>324</v>
      </c>
      <c r="E292" s="1"/>
      <c r="F292" s="1"/>
      <c r="G292" s="1" t="s">
        <v>626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555</v>
      </c>
      <c r="C293" s="1">
        <f t="shared" ca="1" si="28"/>
        <v>3</v>
      </c>
      <c r="D293" s="1" t="s">
        <v>324</v>
      </c>
      <c r="E293" s="1"/>
      <c r="F293" s="1"/>
      <c r="G293" s="1" t="s">
        <v>682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553</v>
      </c>
      <c r="C294" s="1">
        <f t="shared" ca="1" si="28"/>
        <v>3</v>
      </c>
      <c r="D294" s="1" t="s">
        <v>324</v>
      </c>
      <c r="E294" s="1"/>
      <c r="F294" s="1"/>
      <c r="G294" s="1" t="s">
        <v>684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556</v>
      </c>
      <c r="C295" s="1">
        <f t="shared" ca="1" si="28"/>
        <v>2</v>
      </c>
      <c r="D295" s="1" t="s">
        <v>324</v>
      </c>
      <c r="E295" s="1"/>
      <c r="F295" s="1"/>
      <c r="G295" s="1" t="s">
        <v>626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555</v>
      </c>
      <c r="C296" s="1">
        <f t="shared" ca="1" si="28"/>
        <v>3</v>
      </c>
      <c r="D296" s="1" t="s">
        <v>324</v>
      </c>
      <c r="E296" s="1"/>
      <c r="F296" s="1"/>
      <c r="G296" s="1" t="s">
        <v>682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553</v>
      </c>
      <c r="C297" s="1">
        <f t="shared" ca="1" si="28"/>
        <v>3</v>
      </c>
      <c r="D297" s="1" t="s">
        <v>324</v>
      </c>
      <c r="E297" s="1"/>
      <c r="F297" s="1"/>
      <c r="G297" s="1" t="s">
        <v>684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560</v>
      </c>
      <c r="C298" s="1">
        <f t="shared" ca="1" si="28"/>
        <v>2</v>
      </c>
      <c r="D298" s="1" t="s">
        <v>324</v>
      </c>
      <c r="E298" s="1"/>
      <c r="F298" s="1"/>
      <c r="G298" s="1" t="s">
        <v>626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555</v>
      </c>
      <c r="C299" s="1">
        <f t="shared" ca="1" si="28"/>
        <v>3</v>
      </c>
      <c r="D299" s="1" t="s">
        <v>324</v>
      </c>
      <c r="E299" s="1"/>
      <c r="F299" s="1"/>
      <c r="G299" s="1" t="s">
        <v>682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553</v>
      </c>
      <c r="C300" s="1">
        <f t="shared" ca="1" si="28"/>
        <v>3</v>
      </c>
      <c r="D300" s="1" t="s">
        <v>324</v>
      </c>
      <c r="E300" s="1"/>
      <c r="F300" s="1"/>
      <c r="G300" s="1" t="s">
        <v>684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559</v>
      </c>
      <c r="C301" s="1">
        <f t="shared" ca="1" si="28"/>
        <v>2</v>
      </c>
      <c r="D301" s="1" t="s">
        <v>324</v>
      </c>
      <c r="E301" s="1"/>
      <c r="F301" s="1"/>
      <c r="G301" s="1" t="s">
        <v>626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555</v>
      </c>
      <c r="C302" s="1">
        <f t="shared" ca="1" si="28"/>
        <v>3</v>
      </c>
      <c r="D302" s="1" t="s">
        <v>324</v>
      </c>
      <c r="E302" s="1"/>
      <c r="F302" s="1"/>
      <c r="G302" s="1" t="s">
        <v>682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553</v>
      </c>
      <c r="C303" s="1">
        <f t="shared" ca="1" si="28"/>
        <v>3</v>
      </c>
      <c r="D303" s="1" t="s">
        <v>324</v>
      </c>
      <c r="E303" s="1"/>
      <c r="F303" s="1"/>
      <c r="G303" s="1" t="s">
        <v>684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561</v>
      </c>
      <c r="C304" s="1">
        <f t="shared" ca="1" si="28"/>
        <v>2</v>
      </c>
      <c r="D304" s="1" t="s">
        <v>324</v>
      </c>
      <c r="E304" s="1"/>
      <c r="F304" s="1"/>
      <c r="G304" s="1" t="s">
        <v>626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555</v>
      </c>
      <c r="C305" s="1">
        <f t="shared" ca="1" si="28"/>
        <v>3</v>
      </c>
      <c r="D305" s="1" t="s">
        <v>324</v>
      </c>
      <c r="E305" s="1"/>
      <c r="F305" s="1"/>
      <c r="G305" s="1" t="s">
        <v>682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553</v>
      </c>
      <c r="C306" s="1">
        <f t="shared" ca="1" si="28"/>
        <v>3</v>
      </c>
      <c r="D306" s="1" t="s">
        <v>324</v>
      </c>
      <c r="E306" s="1"/>
      <c r="F306" s="1"/>
      <c r="G306" s="1" t="s">
        <v>684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562</v>
      </c>
      <c r="C307" s="1">
        <f t="shared" ca="1" si="28"/>
        <v>2</v>
      </c>
      <c r="D307" s="1" t="s">
        <v>324</v>
      </c>
      <c r="E307" s="1"/>
      <c r="F307" s="1"/>
      <c r="G307" s="1" t="s">
        <v>626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555</v>
      </c>
      <c r="C308" s="1">
        <f t="shared" ca="1" si="28"/>
        <v>3</v>
      </c>
      <c r="D308" s="1" t="s">
        <v>324</v>
      </c>
      <c r="E308" s="1"/>
      <c r="F308" s="1"/>
      <c r="G308" s="1" t="s">
        <v>682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553</v>
      </c>
      <c r="C309" s="1">
        <f t="shared" ca="1" si="28"/>
        <v>3</v>
      </c>
      <c r="D309" s="1" t="s">
        <v>324</v>
      </c>
      <c r="E309" s="1"/>
      <c r="F309" s="1"/>
      <c r="G309" s="1" t="s">
        <v>684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563</v>
      </c>
      <c r="C310" s="1">
        <f t="shared" ca="1" si="28"/>
        <v>2</v>
      </c>
      <c r="D310" s="1" t="s">
        <v>324</v>
      </c>
      <c r="E310" s="1"/>
      <c r="F310" s="1"/>
      <c r="G310" s="1" t="s">
        <v>626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555</v>
      </c>
      <c r="C311" s="1">
        <f t="shared" ca="1" si="28"/>
        <v>3</v>
      </c>
      <c r="D311" s="1" t="s">
        <v>324</v>
      </c>
      <c r="E311" s="1"/>
      <c r="F311" s="1"/>
      <c r="G311" s="1" t="s">
        <v>682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553</v>
      </c>
      <c r="C312" s="1">
        <f t="shared" ca="1" si="28"/>
        <v>3</v>
      </c>
      <c r="D312" s="1" t="s">
        <v>324</v>
      </c>
      <c r="E312" s="1"/>
      <c r="F312" s="1"/>
      <c r="G312" s="1" t="s">
        <v>684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564</v>
      </c>
      <c r="C313" s="1">
        <f t="shared" ca="1" si="28"/>
        <v>2</v>
      </c>
      <c r="D313" s="1" t="s">
        <v>324</v>
      </c>
      <c r="E313" s="1"/>
      <c r="F313" s="1"/>
      <c r="G313" s="1" t="s">
        <v>626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555</v>
      </c>
      <c r="C314" s="1">
        <f t="shared" ca="1" si="28"/>
        <v>3</v>
      </c>
      <c r="D314" s="1" t="s">
        <v>324</v>
      </c>
      <c r="E314" s="1"/>
      <c r="F314" s="1"/>
      <c r="G314" s="1" t="s">
        <v>682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553</v>
      </c>
      <c r="C315" s="1">
        <f t="shared" ca="1" si="28"/>
        <v>3</v>
      </c>
      <c r="D315" s="1" t="s">
        <v>324</v>
      </c>
      <c r="E315" s="1"/>
      <c r="F315" s="1"/>
      <c r="G315" s="1" t="s">
        <v>684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565</v>
      </c>
      <c r="C316" s="1">
        <f t="shared" ca="1" si="28"/>
        <v>2</v>
      </c>
      <c r="D316" s="1" t="s">
        <v>324</v>
      </c>
      <c r="E316" s="1"/>
      <c r="F316" s="1"/>
      <c r="G316" s="1" t="s">
        <v>626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555</v>
      </c>
      <c r="C317" s="1">
        <f t="shared" ca="1" si="28"/>
        <v>3</v>
      </c>
      <c r="D317" s="1" t="s">
        <v>324</v>
      </c>
      <c r="E317" s="1"/>
      <c r="F317" s="1"/>
      <c r="G317" s="1" t="s">
        <v>682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553</v>
      </c>
      <c r="C318" s="1">
        <f t="shared" ca="1" si="28"/>
        <v>3</v>
      </c>
      <c r="D318" s="1" t="s">
        <v>324</v>
      </c>
      <c r="E318" s="1"/>
      <c r="F318" s="1"/>
      <c r="G318" s="1" t="s">
        <v>684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566</v>
      </c>
      <c r="C319" s="1">
        <f t="shared" ca="1" si="28"/>
        <v>2</v>
      </c>
      <c r="D319" s="1" t="s">
        <v>324</v>
      </c>
      <c r="E319" s="1"/>
      <c r="F319" s="1"/>
      <c r="G319" s="1" t="s">
        <v>626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555</v>
      </c>
      <c r="C320" s="1">
        <f t="shared" ca="1" si="28"/>
        <v>3</v>
      </c>
      <c r="D320" s="1" t="s">
        <v>324</v>
      </c>
      <c r="E320" s="1"/>
      <c r="F320" s="1"/>
      <c r="G320" s="1" t="s">
        <v>682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553</v>
      </c>
      <c r="C321" s="1">
        <f t="shared" ca="1" si="28"/>
        <v>3</v>
      </c>
      <c r="D321" s="1" t="s">
        <v>324</v>
      </c>
      <c r="E321" s="1"/>
      <c r="F321" s="1"/>
      <c r="G321" s="1" t="s">
        <v>684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567</v>
      </c>
      <c r="C322" s="1">
        <f t="shared" ca="1" si="28"/>
        <v>2</v>
      </c>
      <c r="D322" s="1" t="s">
        <v>324</v>
      </c>
      <c r="E322" s="1"/>
      <c r="F322" s="1"/>
      <c r="G322" s="1" t="s">
        <v>626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555</v>
      </c>
      <c r="C323" s="1">
        <f t="shared" ref="C323:C386" ca="1" si="34">indent(B323)</f>
        <v>3</v>
      </c>
      <c r="D323" s="1" t="s">
        <v>324</v>
      </c>
      <c r="E323" s="1"/>
      <c r="F323" s="1"/>
      <c r="G323" s="1" t="s">
        <v>682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553</v>
      </c>
      <c r="C324" s="1">
        <f t="shared" ca="1" si="34"/>
        <v>3</v>
      </c>
      <c r="D324" s="1" t="s">
        <v>324</v>
      </c>
      <c r="E324" s="1"/>
      <c r="F324" s="1"/>
      <c r="G324" s="1" t="s">
        <v>684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568</v>
      </c>
      <c r="C325" s="1">
        <f t="shared" ca="1" si="34"/>
        <v>2</v>
      </c>
      <c r="D325" s="1" t="s">
        <v>324</v>
      </c>
      <c r="E325" s="1"/>
      <c r="F325" s="1"/>
      <c r="G325" s="1" t="s">
        <v>626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555</v>
      </c>
      <c r="C326" s="1">
        <f t="shared" ca="1" si="34"/>
        <v>3</v>
      </c>
      <c r="D326" s="1" t="s">
        <v>324</v>
      </c>
      <c r="E326" s="1"/>
      <c r="F326" s="1"/>
      <c r="G326" s="1" t="s">
        <v>682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553</v>
      </c>
      <c r="C327" s="1">
        <f t="shared" ca="1" si="34"/>
        <v>3</v>
      </c>
      <c r="D327" s="1" t="s">
        <v>324</v>
      </c>
      <c r="E327" s="1"/>
      <c r="F327" s="1"/>
      <c r="G327" s="1" t="s">
        <v>684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569</v>
      </c>
      <c r="C328" s="1">
        <f t="shared" ca="1" si="34"/>
        <v>2</v>
      </c>
      <c r="D328" s="1" t="s">
        <v>324</v>
      </c>
      <c r="E328" s="1"/>
      <c r="F328" s="1"/>
      <c r="G328" s="1" t="s">
        <v>626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555</v>
      </c>
      <c r="C329" s="1">
        <f t="shared" ca="1" si="34"/>
        <v>3</v>
      </c>
      <c r="D329" s="1" t="s">
        <v>324</v>
      </c>
      <c r="E329" s="1"/>
      <c r="F329" s="1"/>
      <c r="G329" s="1" t="s">
        <v>682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553</v>
      </c>
      <c r="C330" s="1">
        <f t="shared" ca="1" si="34"/>
        <v>3</v>
      </c>
      <c r="D330" s="1" t="s">
        <v>324</v>
      </c>
      <c r="E330" s="1"/>
      <c r="F330" s="1"/>
      <c r="G330" s="1" t="s">
        <v>684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570</v>
      </c>
      <c r="C331" s="1">
        <f t="shared" ca="1" si="34"/>
        <v>2</v>
      </c>
      <c r="D331" s="1" t="s">
        <v>324</v>
      </c>
      <c r="E331" s="1"/>
      <c r="F331" s="1"/>
      <c r="G331" s="1" t="s">
        <v>626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555</v>
      </c>
      <c r="C332" s="1">
        <f t="shared" ca="1" si="34"/>
        <v>3</v>
      </c>
      <c r="D332" s="1" t="s">
        <v>324</v>
      </c>
      <c r="E332" s="1"/>
      <c r="F332" s="1"/>
      <c r="G332" s="1" t="s">
        <v>682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571</v>
      </c>
      <c r="C333" s="1">
        <f t="shared" ca="1" si="34"/>
        <v>3</v>
      </c>
      <c r="D333" s="1" t="s">
        <v>324</v>
      </c>
      <c r="E333" s="1"/>
      <c r="F333" s="1"/>
      <c r="G333" s="1" t="s">
        <v>684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572</v>
      </c>
      <c r="C334" s="1">
        <f t="shared" ca="1" si="34"/>
        <v>2</v>
      </c>
      <c r="D334" s="1" t="s">
        <v>324</v>
      </c>
      <c r="E334" s="1"/>
      <c r="F334" s="1"/>
      <c r="G334" s="1" t="s">
        <v>626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555</v>
      </c>
      <c r="C335" s="1">
        <f t="shared" ca="1" si="34"/>
        <v>3</v>
      </c>
      <c r="D335" s="1" t="s">
        <v>324</v>
      </c>
      <c r="E335" s="1"/>
      <c r="F335" s="1"/>
      <c r="G335" s="1" t="s">
        <v>682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553</v>
      </c>
      <c r="C336" s="1">
        <f t="shared" ca="1" si="34"/>
        <v>3</v>
      </c>
      <c r="D336" s="1" t="s">
        <v>324</v>
      </c>
      <c r="E336" s="1"/>
      <c r="F336" s="1"/>
      <c r="G336" s="1" t="s">
        <v>684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573</v>
      </c>
      <c r="C337" s="1">
        <f t="shared" ca="1" si="34"/>
        <v>2</v>
      </c>
      <c r="D337" s="1" t="s">
        <v>324</v>
      </c>
      <c r="E337" s="1"/>
      <c r="F337" s="1"/>
      <c r="G337" s="1" t="s">
        <v>626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555</v>
      </c>
      <c r="C338" s="1">
        <f t="shared" ca="1" si="34"/>
        <v>3</v>
      </c>
      <c r="D338" s="1" t="s">
        <v>324</v>
      </c>
      <c r="E338" s="1"/>
      <c r="F338" s="1"/>
      <c r="G338" s="1" t="s">
        <v>682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553</v>
      </c>
      <c r="C339" s="1">
        <f t="shared" ca="1" si="34"/>
        <v>3</v>
      </c>
      <c r="D339" s="1" t="s">
        <v>324</v>
      </c>
      <c r="E339" s="1"/>
      <c r="F339" s="1"/>
      <c r="G339" s="1" t="s">
        <v>684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574</v>
      </c>
      <c r="C340" s="1">
        <f t="shared" ca="1" si="34"/>
        <v>2</v>
      </c>
      <c r="D340" s="1" t="s">
        <v>324</v>
      </c>
      <c r="E340" s="1"/>
      <c r="F340" s="1"/>
      <c r="G340" s="1" t="s">
        <v>626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555</v>
      </c>
      <c r="C341" s="1">
        <f t="shared" ca="1" si="34"/>
        <v>3</v>
      </c>
      <c r="D341" s="1" t="s">
        <v>324</v>
      </c>
      <c r="E341" s="1"/>
      <c r="F341" s="1"/>
      <c r="G341" s="1" t="s">
        <v>682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553</v>
      </c>
      <c r="C342" s="1">
        <f t="shared" ca="1" si="34"/>
        <v>3</v>
      </c>
      <c r="D342" s="1" t="s">
        <v>324</v>
      </c>
      <c r="E342" s="1"/>
      <c r="F342" s="1"/>
      <c r="G342" s="1" t="s">
        <v>684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579</v>
      </c>
      <c r="C343" s="1">
        <f t="shared" ca="1" si="34"/>
        <v>2</v>
      </c>
      <c r="D343" s="1" t="s">
        <v>324</v>
      </c>
      <c r="E343" s="1"/>
      <c r="F343" s="1"/>
      <c r="G343" s="1" t="s">
        <v>626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555</v>
      </c>
      <c r="C344" s="1">
        <f t="shared" ca="1" si="34"/>
        <v>3</v>
      </c>
      <c r="D344" s="1" t="s">
        <v>324</v>
      </c>
      <c r="E344" s="1"/>
      <c r="F344" s="1"/>
      <c r="G344" s="1" t="s">
        <v>682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553</v>
      </c>
      <c r="C345" s="1">
        <f t="shared" ca="1" si="34"/>
        <v>3</v>
      </c>
      <c r="D345" s="1" t="s">
        <v>324</v>
      </c>
      <c r="E345" s="1"/>
      <c r="F345" s="1"/>
      <c r="G345" s="1" t="s">
        <v>684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578</v>
      </c>
      <c r="C346" s="1">
        <f t="shared" ca="1" si="34"/>
        <v>2</v>
      </c>
      <c r="D346" s="1" t="s">
        <v>324</v>
      </c>
      <c r="E346" s="1"/>
      <c r="F346" s="1"/>
      <c r="G346" s="1" t="s">
        <v>626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555</v>
      </c>
      <c r="C347" s="1">
        <f t="shared" ca="1" si="34"/>
        <v>3</v>
      </c>
      <c r="D347" s="1" t="s">
        <v>324</v>
      </c>
      <c r="E347" s="1"/>
      <c r="F347" s="1"/>
      <c r="G347" s="1" t="s">
        <v>682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571</v>
      </c>
      <c r="C348" s="1">
        <f t="shared" ca="1" si="34"/>
        <v>3</v>
      </c>
      <c r="D348" s="1" t="s">
        <v>324</v>
      </c>
      <c r="E348" s="1"/>
      <c r="F348" s="1"/>
      <c r="G348" s="1" t="s">
        <v>684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577</v>
      </c>
      <c r="C349" s="1">
        <f t="shared" ca="1" si="34"/>
        <v>2</v>
      </c>
      <c r="D349" s="1" t="s">
        <v>324</v>
      </c>
      <c r="E349" s="1"/>
      <c r="F349" s="1"/>
      <c r="G349" s="1" t="s">
        <v>626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555</v>
      </c>
      <c r="C350" s="1">
        <f t="shared" ca="1" si="34"/>
        <v>3</v>
      </c>
      <c r="D350" s="1" t="s">
        <v>324</v>
      </c>
      <c r="E350" s="1"/>
      <c r="F350" s="1"/>
      <c r="G350" s="1" t="s">
        <v>682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553</v>
      </c>
      <c r="C351" s="1">
        <f t="shared" ca="1" si="34"/>
        <v>3</v>
      </c>
      <c r="D351" s="1" t="s">
        <v>324</v>
      </c>
      <c r="E351" s="1"/>
      <c r="F351" s="1"/>
      <c r="G351" s="1" t="s">
        <v>684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576</v>
      </c>
      <c r="C352" s="1">
        <f t="shared" ca="1" si="34"/>
        <v>2</v>
      </c>
      <c r="D352" s="1" t="s">
        <v>324</v>
      </c>
      <c r="E352" s="1"/>
      <c r="F352" s="1"/>
      <c r="G352" s="1" t="s">
        <v>626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555</v>
      </c>
      <c r="C353" s="1">
        <f t="shared" ca="1" si="34"/>
        <v>3</v>
      </c>
      <c r="D353" s="1" t="s">
        <v>324</v>
      </c>
      <c r="E353" s="1"/>
      <c r="F353" s="1"/>
      <c r="G353" s="1" t="s">
        <v>682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553</v>
      </c>
      <c r="C354" s="1">
        <f t="shared" ca="1" si="34"/>
        <v>3</v>
      </c>
      <c r="D354" s="1" t="s">
        <v>324</v>
      </c>
      <c r="E354" s="1"/>
      <c r="F354" s="1"/>
      <c r="G354" s="1" t="s">
        <v>684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575</v>
      </c>
      <c r="C355" s="1">
        <f t="shared" ca="1" si="34"/>
        <v>2</v>
      </c>
      <c r="D355" s="1" t="s">
        <v>324</v>
      </c>
      <c r="E355" s="1"/>
      <c r="F355" s="1"/>
      <c r="G355" s="1" t="s">
        <v>626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555</v>
      </c>
      <c r="C356" s="1">
        <f t="shared" ca="1" si="34"/>
        <v>3</v>
      </c>
      <c r="D356" s="1" t="s">
        <v>324</v>
      </c>
      <c r="E356" s="1"/>
      <c r="F356" s="1"/>
      <c r="G356" s="1" t="s">
        <v>682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553</v>
      </c>
      <c r="C357" s="1">
        <f t="shared" ca="1" si="34"/>
        <v>3</v>
      </c>
      <c r="D357" s="1" t="s">
        <v>324</v>
      </c>
      <c r="E357" s="1"/>
      <c r="F357" s="1"/>
      <c r="G357" s="1" t="s">
        <v>684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580</v>
      </c>
      <c r="C358" s="1">
        <f t="shared" ca="1" si="34"/>
        <v>2</v>
      </c>
      <c r="D358" s="1" t="s">
        <v>324</v>
      </c>
      <c r="E358" s="1"/>
      <c r="F358" s="1"/>
      <c r="G358" s="1" t="s">
        <v>626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555</v>
      </c>
      <c r="C359" s="1">
        <f t="shared" ca="1" si="34"/>
        <v>3</v>
      </c>
      <c r="D359" s="1" t="s">
        <v>324</v>
      </c>
      <c r="E359" s="1"/>
      <c r="F359" s="1"/>
      <c r="G359" s="1" t="s">
        <v>682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553</v>
      </c>
      <c r="C360" s="1">
        <f t="shared" ca="1" si="34"/>
        <v>3</v>
      </c>
      <c r="D360" s="1" t="s">
        <v>324</v>
      </c>
      <c r="E360" s="1"/>
      <c r="F360" s="1"/>
      <c r="G360" s="1" t="s">
        <v>684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581</v>
      </c>
      <c r="C361" s="1">
        <f t="shared" ca="1" si="34"/>
        <v>2</v>
      </c>
      <c r="D361" s="1" t="s">
        <v>324</v>
      </c>
      <c r="E361" s="1"/>
      <c r="F361" s="1"/>
      <c r="G361" s="1" t="s">
        <v>626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555</v>
      </c>
      <c r="C362" s="1">
        <f t="shared" ca="1" si="34"/>
        <v>3</v>
      </c>
      <c r="D362" s="1" t="s">
        <v>324</v>
      </c>
      <c r="E362" s="1"/>
      <c r="F362" s="1"/>
      <c r="G362" s="1" t="s">
        <v>682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571</v>
      </c>
      <c r="C363" s="1">
        <f t="shared" ca="1" si="34"/>
        <v>3</v>
      </c>
      <c r="D363" s="1" t="s">
        <v>324</v>
      </c>
      <c r="E363" s="1"/>
      <c r="F363" s="1"/>
      <c r="G363" s="1" t="s">
        <v>684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582</v>
      </c>
      <c r="C364" s="1">
        <f t="shared" ca="1" si="34"/>
        <v>2</v>
      </c>
      <c r="D364" s="1" t="s">
        <v>324</v>
      </c>
      <c r="E364" s="1"/>
      <c r="F364" s="1"/>
      <c r="G364" s="1" t="s">
        <v>626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555</v>
      </c>
      <c r="C365" s="1">
        <f t="shared" ca="1" si="34"/>
        <v>3</v>
      </c>
      <c r="D365" s="1" t="s">
        <v>324</v>
      </c>
      <c r="E365" s="1"/>
      <c r="F365" s="1"/>
      <c r="G365" s="1" t="s">
        <v>682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553</v>
      </c>
      <c r="C366" s="1">
        <f t="shared" ca="1" si="34"/>
        <v>3</v>
      </c>
      <c r="D366" s="1" t="s">
        <v>324</v>
      </c>
      <c r="E366" s="1"/>
      <c r="F366" s="1"/>
      <c r="G366" s="1" t="s">
        <v>684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583</v>
      </c>
      <c r="C367" s="1">
        <f t="shared" ca="1" si="34"/>
        <v>2</v>
      </c>
      <c r="D367" s="1" t="s">
        <v>324</v>
      </c>
      <c r="E367" s="1"/>
      <c r="F367" s="1"/>
      <c r="G367" s="1" t="s">
        <v>626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555</v>
      </c>
      <c r="C368" s="1">
        <f t="shared" ca="1" si="34"/>
        <v>3</v>
      </c>
      <c r="D368" s="1" t="s">
        <v>324</v>
      </c>
      <c r="E368" s="1"/>
      <c r="F368" s="1"/>
      <c r="G368" s="1" t="s">
        <v>682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553</v>
      </c>
      <c r="C369" s="1">
        <f t="shared" ca="1" si="34"/>
        <v>3</v>
      </c>
      <c r="D369" s="1" t="s">
        <v>324</v>
      </c>
      <c r="E369" s="1"/>
      <c r="F369" s="1"/>
      <c r="G369" s="1" t="s">
        <v>684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584</v>
      </c>
      <c r="C370" s="1">
        <f t="shared" ca="1" si="34"/>
        <v>2</v>
      </c>
      <c r="D370" s="1" t="s">
        <v>324</v>
      </c>
      <c r="E370" s="1"/>
      <c r="F370" s="1"/>
      <c r="G370" s="1" t="s">
        <v>626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555</v>
      </c>
      <c r="C371" s="1">
        <f t="shared" ca="1" si="34"/>
        <v>3</v>
      </c>
      <c r="D371" s="1" t="s">
        <v>324</v>
      </c>
      <c r="E371" s="1"/>
      <c r="F371" s="1"/>
      <c r="G371" s="1" t="s">
        <v>682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553</v>
      </c>
      <c r="C372" s="1">
        <f t="shared" ca="1" si="34"/>
        <v>3</v>
      </c>
      <c r="D372" s="1" t="s">
        <v>324</v>
      </c>
      <c r="E372" s="1"/>
      <c r="F372" s="1"/>
      <c r="G372" s="1" t="s">
        <v>684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589</v>
      </c>
      <c r="C373" s="1">
        <f t="shared" ca="1" si="34"/>
        <v>2</v>
      </c>
      <c r="D373" s="1" t="s">
        <v>324</v>
      </c>
      <c r="E373" s="1"/>
      <c r="F373" s="1"/>
      <c r="G373" s="1" t="s">
        <v>626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555</v>
      </c>
      <c r="C374" s="1">
        <f t="shared" ca="1" si="34"/>
        <v>3</v>
      </c>
      <c r="D374" s="1" t="s">
        <v>324</v>
      </c>
      <c r="E374" s="1"/>
      <c r="F374" s="1"/>
      <c r="G374" s="1" t="s">
        <v>682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553</v>
      </c>
      <c r="C375" s="1">
        <f t="shared" ca="1" si="34"/>
        <v>3</v>
      </c>
      <c r="D375" s="1" t="s">
        <v>324</v>
      </c>
      <c r="E375" s="1"/>
      <c r="F375" s="1"/>
      <c r="G375" s="1" t="s">
        <v>684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588</v>
      </c>
      <c r="C376" s="1">
        <f t="shared" ca="1" si="34"/>
        <v>2</v>
      </c>
      <c r="D376" s="1" t="s">
        <v>324</v>
      </c>
      <c r="E376" s="1"/>
      <c r="F376" s="1"/>
      <c r="G376" s="1" t="s">
        <v>626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555</v>
      </c>
      <c r="C377" s="1">
        <f t="shared" ca="1" si="34"/>
        <v>3</v>
      </c>
      <c r="D377" s="1" t="s">
        <v>324</v>
      </c>
      <c r="E377" s="1"/>
      <c r="F377" s="1"/>
      <c r="G377" s="1" t="s">
        <v>682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571</v>
      </c>
      <c r="C378" s="1">
        <f t="shared" ca="1" si="34"/>
        <v>3</v>
      </c>
      <c r="D378" s="1" t="s">
        <v>324</v>
      </c>
      <c r="E378" s="1"/>
      <c r="F378" s="1"/>
      <c r="G378" s="1" t="s">
        <v>684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587</v>
      </c>
      <c r="C379" s="1">
        <f t="shared" ca="1" si="34"/>
        <v>2</v>
      </c>
      <c r="D379" s="1" t="s">
        <v>324</v>
      </c>
      <c r="E379" s="1"/>
      <c r="F379" s="1"/>
      <c r="G379" s="1" t="s">
        <v>626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555</v>
      </c>
      <c r="C380" s="1">
        <f t="shared" ca="1" si="34"/>
        <v>3</v>
      </c>
      <c r="D380" s="1" t="s">
        <v>324</v>
      </c>
      <c r="E380" s="1"/>
      <c r="F380" s="1"/>
      <c r="G380" s="1" t="s">
        <v>682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553</v>
      </c>
      <c r="C381" s="1">
        <f t="shared" ca="1" si="34"/>
        <v>3</v>
      </c>
      <c r="D381" s="1" t="s">
        <v>324</v>
      </c>
      <c r="E381" s="1"/>
      <c r="F381" s="1"/>
      <c r="G381" s="1" t="s">
        <v>684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585</v>
      </c>
      <c r="C382" s="1">
        <f t="shared" ca="1" si="34"/>
        <v>2</v>
      </c>
      <c r="D382" s="1" t="s">
        <v>324</v>
      </c>
      <c r="E382" s="1"/>
      <c r="F382" s="1"/>
      <c r="G382" s="1" t="s">
        <v>626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555</v>
      </c>
      <c r="C383" s="1">
        <f t="shared" ca="1" si="34"/>
        <v>3</v>
      </c>
      <c r="D383" s="1" t="s">
        <v>324</v>
      </c>
      <c r="E383" s="1"/>
      <c r="F383" s="1"/>
      <c r="G383" s="1" t="s">
        <v>682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553</v>
      </c>
      <c r="C384" s="1">
        <f t="shared" ca="1" si="34"/>
        <v>3</v>
      </c>
      <c r="D384" s="1" t="s">
        <v>324</v>
      </c>
      <c r="E384" s="1"/>
      <c r="F384" s="1"/>
      <c r="G384" s="1" t="s">
        <v>684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586</v>
      </c>
      <c r="C385" s="1">
        <f t="shared" ca="1" si="34"/>
        <v>2</v>
      </c>
      <c r="D385" s="1" t="s">
        <v>324</v>
      </c>
      <c r="E385" s="1"/>
      <c r="F385" s="1"/>
      <c r="G385" s="1" t="s">
        <v>626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555</v>
      </c>
      <c r="C386" s="1">
        <f t="shared" ca="1" si="34"/>
        <v>3</v>
      </c>
      <c r="D386" s="1" t="s">
        <v>324</v>
      </c>
      <c r="E386" s="1"/>
      <c r="F386" s="1"/>
      <c r="G386" s="1" t="s">
        <v>682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553</v>
      </c>
      <c r="C387" s="1">
        <f t="shared" ref="C387:C389" ca="1" si="41">indent(B387)</f>
        <v>3</v>
      </c>
      <c r="D387" s="1" t="s">
        <v>324</v>
      </c>
      <c r="E387" s="1"/>
      <c r="F387" s="1"/>
      <c r="G387" s="1" t="s">
        <v>684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551</v>
      </c>
      <c r="C388" s="1">
        <f t="shared" ca="1" si="41"/>
        <v>0</v>
      </c>
      <c r="D388" s="1" t="s">
        <v>324</v>
      </c>
      <c r="E388" s="1"/>
      <c r="F388" s="1"/>
      <c r="G388" s="1" t="s">
        <v>631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162</v>
      </c>
      <c r="C389" s="1">
        <f t="shared" ca="1" si="41"/>
        <v>1</v>
      </c>
      <c r="D389" s="1" t="s">
        <v>324</v>
      </c>
      <c r="E389" s="1"/>
      <c r="F389" s="1"/>
      <c r="G389" s="1" t="s">
        <v>684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2018-06-10T07:46:05Z</dcterms:modified>
</cp:coreProperties>
</file>