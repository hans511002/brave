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593E6522-FF21-49DD-AC02-59B60688493D}" xr6:coauthVersionLast="33" xr6:coauthVersionMax="33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  <sheet name="test" sheetId="7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6" i="4" l="1"/>
  <c r="L219" i="4"/>
  <c r="L218" i="4"/>
  <c r="L195" i="4"/>
  <c r="L194" i="4"/>
  <c r="L188" i="4"/>
  <c r="L187" i="4"/>
  <c r="L153" i="4"/>
  <c r="L152" i="4"/>
  <c r="L130" i="4"/>
  <c r="L129" i="4"/>
  <c r="L116" i="4"/>
  <c r="L115" i="4"/>
  <c r="J115" i="4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  <c r="L96" i="4" l="1"/>
  <c r="K96" i="4"/>
  <c r="J96" i="4"/>
  <c r="L89" i="4"/>
  <c r="K89" i="4"/>
  <c r="J89" i="4"/>
  <c r="C89" i="4"/>
  <c r="C96" i="4"/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86" i="5"/>
  <c r="C92" i="5"/>
  <c r="C32" i="4"/>
  <c r="C88" i="5"/>
  <c r="C90" i="5"/>
  <c r="C40" i="4"/>
  <c r="C39" i="4"/>
  <c r="C91" i="5"/>
  <c r="C41" i="4"/>
  <c r="C83" i="5"/>
  <c r="C85" i="5"/>
  <c r="C82" i="5"/>
  <c r="C89" i="5"/>
  <c r="C31" i="4"/>
  <c r="C42" i="4"/>
  <c r="I88" i="5" l="1"/>
  <c r="H88" i="5" s="1"/>
  <c r="N88" i="5" s="1"/>
  <c r="I92" i="5"/>
  <c r="H92" i="5" s="1"/>
  <c r="N92" i="5" s="1"/>
  <c r="I89" i="5"/>
  <c r="H89" i="5" s="1"/>
  <c r="O89" i="5" s="1"/>
  <c r="I91" i="5"/>
  <c r="H91" i="5" s="1"/>
  <c r="O91" i="5" s="1"/>
  <c r="I90" i="5"/>
  <c r="H90" i="5" s="1"/>
  <c r="N90" i="5" s="1"/>
  <c r="I85" i="5"/>
  <c r="H85" i="5" s="1"/>
  <c r="O85" i="5" s="1"/>
  <c r="I86" i="5"/>
  <c r="H86" i="5" s="1"/>
  <c r="O86" i="5" s="1"/>
  <c r="I83" i="5"/>
  <c r="H83" i="5" s="1"/>
  <c r="O83" i="5" s="1"/>
  <c r="I82" i="5"/>
  <c r="H82" i="5" s="1"/>
  <c r="N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K23" i="1"/>
  <c r="J23" i="1"/>
  <c r="J3" i="1"/>
  <c r="J2" i="1"/>
  <c r="C12" i="1"/>
  <c r="C52" i="1"/>
  <c r="C10" i="1"/>
  <c r="C7" i="1"/>
  <c r="C23" i="1"/>
  <c r="C21" i="1"/>
  <c r="C18" i="1"/>
  <c r="C16" i="1"/>
  <c r="C17" i="1"/>
  <c r="C26" i="1"/>
  <c r="C6" i="1"/>
  <c r="C9" i="1"/>
  <c r="C50" i="1"/>
  <c r="C13" i="1"/>
  <c r="C22" i="1"/>
  <c r="C15" i="1"/>
  <c r="C2" i="1"/>
  <c r="C14" i="1"/>
  <c r="C11" i="1"/>
  <c r="C43" i="1"/>
  <c r="C20" i="1"/>
  <c r="C51" i="1"/>
  <c r="C44" i="1"/>
  <c r="C45" i="1"/>
  <c r="C5" i="1"/>
  <c r="C3" i="1"/>
  <c r="C48" i="1"/>
  <c r="C4" i="1"/>
  <c r="C8" i="1"/>
  <c r="C49" i="1"/>
  <c r="C19" i="1"/>
  <c r="O92" i="5" l="1"/>
  <c r="O88" i="5"/>
  <c r="O90" i="5"/>
  <c r="O82" i="5"/>
  <c r="O2" i="1"/>
  <c r="O23" i="1"/>
  <c r="N91" i="5"/>
  <c r="N89" i="5"/>
  <c r="N86" i="5"/>
  <c r="N85" i="5"/>
  <c r="N83" i="5"/>
  <c r="I51" i="1"/>
  <c r="H51" i="1" s="1"/>
  <c r="N51" i="1" s="1"/>
  <c r="I52" i="1"/>
  <c r="H52" i="1" s="1"/>
  <c r="N52" i="1" s="1"/>
  <c r="N50" i="1"/>
  <c r="O50" i="1"/>
  <c r="I50" i="1"/>
  <c r="H50" i="1" s="1"/>
  <c r="I49" i="1"/>
  <c r="H49" i="1" s="1"/>
  <c r="O49" i="1" s="1"/>
  <c r="I48" i="1"/>
  <c r="H48" i="1" s="1"/>
  <c r="N48" i="1" s="1"/>
  <c r="I45" i="1"/>
  <c r="H45" i="1" s="1"/>
  <c r="O45" i="1" s="1"/>
  <c r="I43" i="1"/>
  <c r="H43" i="1" s="1"/>
  <c r="O43" i="1" s="1"/>
  <c r="I44" i="1"/>
  <c r="H44" i="1" s="1"/>
  <c r="O44" i="1" s="1"/>
  <c r="I12" i="1"/>
  <c r="H12" i="1" s="1"/>
  <c r="O12" i="1" s="1"/>
  <c r="I4" i="1"/>
  <c r="H4" i="1" s="1"/>
  <c r="N4" i="1" s="1"/>
  <c r="I21" i="1"/>
  <c r="H21" i="1" s="1"/>
  <c r="N21" i="1" s="1"/>
  <c r="I13" i="1"/>
  <c r="H13" i="1" s="1"/>
  <c r="N13" i="1" s="1"/>
  <c r="I5" i="1"/>
  <c r="H5" i="1" s="1"/>
  <c r="O5" i="1" s="1"/>
  <c r="I22" i="1"/>
  <c r="H22" i="1" s="1"/>
  <c r="O22" i="1" s="1"/>
  <c r="I14" i="1"/>
  <c r="H14" i="1" s="1"/>
  <c r="O14" i="1" s="1"/>
  <c r="I6" i="1"/>
  <c r="H6" i="1" s="1"/>
  <c r="O6" i="1" s="1"/>
  <c r="I15" i="1"/>
  <c r="H15" i="1" s="1"/>
  <c r="N15" i="1" s="1"/>
  <c r="I7" i="1"/>
  <c r="H7" i="1" s="1"/>
  <c r="O7" i="1" s="1"/>
  <c r="I8" i="1"/>
  <c r="H8" i="1" s="1"/>
  <c r="N8" i="1" s="1"/>
  <c r="I17" i="1"/>
  <c r="H17" i="1" s="1"/>
  <c r="N17" i="1" s="1"/>
  <c r="I9" i="1"/>
  <c r="H9" i="1" s="1"/>
  <c r="O9" i="1" s="1"/>
  <c r="I20" i="1"/>
  <c r="H20" i="1" s="1"/>
  <c r="N20" i="1" s="1"/>
  <c r="I16" i="1"/>
  <c r="H16" i="1" s="1"/>
  <c r="O16" i="1" s="1"/>
  <c r="I18" i="1"/>
  <c r="H18" i="1" s="1"/>
  <c r="O18" i="1" s="1"/>
  <c r="I10" i="1"/>
  <c r="H10" i="1" s="1"/>
  <c r="N10" i="1" s="1"/>
  <c r="I19" i="1"/>
  <c r="H19" i="1" s="1"/>
  <c r="O19" i="1" s="1"/>
  <c r="I11" i="1"/>
  <c r="H11" i="1" s="1"/>
  <c r="O11" i="1" s="1"/>
  <c r="N23" i="1"/>
  <c r="I23" i="1"/>
  <c r="H23" i="1" s="1"/>
  <c r="I3" i="1"/>
  <c r="H3" i="1" s="1"/>
  <c r="O3" i="1" s="1"/>
  <c r="N2" i="1"/>
  <c r="I2" i="1"/>
  <c r="H2" i="1" s="1"/>
  <c r="J13" i="4"/>
  <c r="K13" i="4"/>
  <c r="L13" i="4"/>
  <c r="J12" i="4"/>
  <c r="K12" i="4"/>
  <c r="L12" i="4"/>
  <c r="C13" i="4"/>
  <c r="O17" i="1" l="1"/>
  <c r="O20" i="1"/>
  <c r="O10" i="1"/>
  <c r="O13" i="1"/>
  <c r="O4" i="1"/>
  <c r="O8" i="1"/>
  <c r="O21" i="1"/>
  <c r="O15" i="1"/>
  <c r="O52" i="1"/>
  <c r="O51" i="1"/>
  <c r="O48" i="1"/>
  <c r="N49" i="1"/>
  <c r="N45" i="1"/>
  <c r="N44" i="1"/>
  <c r="N43" i="1"/>
  <c r="N5" i="1"/>
  <c r="N11" i="1"/>
  <c r="N6" i="1"/>
  <c r="N19" i="1"/>
  <c r="N14" i="1"/>
  <c r="N12" i="1"/>
  <c r="N18" i="1"/>
  <c r="N22" i="1"/>
  <c r="N9" i="1"/>
  <c r="N16" i="1"/>
  <c r="N7" i="1"/>
  <c r="N3" i="1"/>
  <c r="I13" i="4"/>
  <c r="H13" i="4" s="1"/>
  <c r="O13" i="4" s="1"/>
  <c r="K18" i="3"/>
  <c r="K19" i="3"/>
  <c r="K20" i="3"/>
  <c r="J7" i="3"/>
  <c r="K7" i="3"/>
  <c r="C7" i="3"/>
  <c r="C12" i="4"/>
  <c r="O12" i="4" l="1"/>
  <c r="N13" i="4"/>
  <c r="I12" i="4"/>
  <c r="H12" i="4" s="1"/>
  <c r="N12" i="4"/>
  <c r="I7" i="3"/>
  <c r="H7" i="3" s="1"/>
  <c r="O7" i="3" s="1"/>
  <c r="L3" i="2"/>
  <c r="L4" i="2"/>
  <c r="L5" i="2"/>
  <c r="L6" i="2"/>
  <c r="L7" i="2"/>
  <c r="L8" i="2"/>
  <c r="L9" i="2"/>
  <c r="L2" i="2"/>
  <c r="N7" i="3" l="1"/>
  <c r="J6" i="3"/>
  <c r="K6" i="3"/>
  <c r="C6" i="3"/>
  <c r="O6" i="3" l="1"/>
  <c r="N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5" i="4"/>
  <c r="K65" i="4"/>
  <c r="L58" i="4"/>
  <c r="K58" i="4"/>
  <c r="L51" i="4"/>
  <c r="K51" i="4"/>
  <c r="K44" i="4"/>
  <c r="L44" i="4"/>
  <c r="K16" i="4"/>
  <c r="L16" i="4"/>
  <c r="K72" i="5"/>
  <c r="C51" i="4"/>
  <c r="C59" i="4"/>
  <c r="C44" i="4"/>
  <c r="C21" i="4"/>
  <c r="C30" i="4"/>
  <c r="C52" i="4"/>
  <c r="C24" i="4"/>
  <c r="C66" i="4"/>
  <c r="C65" i="4"/>
  <c r="C58" i="4"/>
  <c r="C18" i="4"/>
  <c r="C16" i="4"/>
  <c r="C27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1" i="5"/>
  <c r="C37" i="5"/>
  <c r="C40" i="5"/>
  <c r="C34" i="5"/>
  <c r="I31" i="5" l="1"/>
  <c r="H31" i="5" s="1"/>
  <c r="O31" i="5" s="1"/>
  <c r="I34" i="5"/>
  <c r="H34" i="5" s="1"/>
  <c r="N34" i="5" s="1"/>
  <c r="I37" i="5"/>
  <c r="H37" i="5" s="1"/>
  <c r="N37" i="5" s="1"/>
  <c r="I40" i="5"/>
  <c r="H40" i="5" s="1"/>
  <c r="O40" i="5" s="1"/>
  <c r="K3" i="5"/>
  <c r="K4" i="5"/>
  <c r="K5" i="5"/>
  <c r="K6" i="5"/>
  <c r="K7" i="5"/>
  <c r="K8" i="5"/>
  <c r="K9" i="5"/>
  <c r="K10" i="5"/>
  <c r="K11" i="5"/>
  <c r="K93" i="5"/>
  <c r="K104" i="5"/>
  <c r="K107" i="5"/>
  <c r="C5" i="5"/>
  <c r="C6" i="5"/>
  <c r="C7" i="5"/>
  <c r="C107" i="5"/>
  <c r="C10" i="5"/>
  <c r="C81" i="5"/>
  <c r="C104" i="5"/>
  <c r="C4" i="5"/>
  <c r="C8" i="5"/>
  <c r="C80" i="5"/>
  <c r="C87" i="5"/>
  <c r="C3" i="5"/>
  <c r="C11" i="5"/>
  <c r="C9" i="5"/>
  <c r="C84" i="5"/>
  <c r="O34" i="5" l="1"/>
  <c r="O37" i="5"/>
  <c r="O84" i="5"/>
  <c r="O87" i="5"/>
  <c r="O80" i="5"/>
  <c r="O81" i="5"/>
  <c r="N87" i="5"/>
  <c r="N81" i="5"/>
  <c r="N84" i="5"/>
  <c r="N80" i="5"/>
  <c r="N40" i="5"/>
  <c r="N31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O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1" i="4"/>
  <c r="K92" i="4"/>
  <c r="K93" i="4"/>
  <c r="K94" i="4"/>
  <c r="K95" i="4"/>
  <c r="K98" i="4"/>
  <c r="K99" i="4"/>
  <c r="K100" i="4"/>
  <c r="K101" i="4"/>
  <c r="K102" i="4"/>
  <c r="K103" i="4"/>
  <c r="K104" i="4"/>
  <c r="K105" i="4"/>
  <c r="K106" i="4"/>
  <c r="K109" i="4"/>
  <c r="K110" i="4"/>
  <c r="K111" i="4"/>
  <c r="K113" i="4"/>
  <c r="K114" i="4"/>
  <c r="K117" i="4"/>
  <c r="K118" i="4"/>
  <c r="K119" i="4"/>
  <c r="K121" i="4"/>
  <c r="K122" i="4"/>
  <c r="K124" i="4"/>
  <c r="K125" i="4"/>
  <c r="K127" i="4"/>
  <c r="K128" i="4"/>
  <c r="K131" i="4"/>
  <c r="K132" i="4"/>
  <c r="K133" i="4"/>
  <c r="K135" i="4"/>
  <c r="K136" i="4"/>
  <c r="K138" i="4"/>
  <c r="K139" i="4"/>
  <c r="K141" i="4"/>
  <c r="K142" i="4"/>
  <c r="K144" i="4"/>
  <c r="K145" i="4"/>
  <c r="K147" i="4"/>
  <c r="K148" i="4"/>
  <c r="K150" i="4"/>
  <c r="K151" i="4"/>
  <c r="K154" i="4"/>
  <c r="K155" i="4"/>
  <c r="K156" i="4"/>
  <c r="K158" i="4"/>
  <c r="K159" i="4"/>
  <c r="K161" i="4"/>
  <c r="K162" i="4"/>
  <c r="K164" i="4"/>
  <c r="K165" i="4"/>
  <c r="K167" i="4"/>
  <c r="K168" i="4"/>
  <c r="K170" i="4"/>
  <c r="K171" i="4"/>
  <c r="K173" i="4"/>
  <c r="K174" i="4"/>
  <c r="K176" i="4"/>
  <c r="K177" i="4"/>
  <c r="K179" i="4"/>
  <c r="K180" i="4"/>
  <c r="K182" i="4"/>
  <c r="K183" i="4"/>
  <c r="K185" i="4"/>
  <c r="K186" i="4"/>
  <c r="K190" i="4"/>
  <c r="K189" i="4"/>
  <c r="K191" i="4"/>
  <c r="K192" i="4"/>
  <c r="K193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17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1" i="4"/>
  <c r="L92" i="4"/>
  <c r="L93" i="4"/>
  <c r="L94" i="4"/>
  <c r="L95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7" i="4"/>
  <c r="L148" i="4"/>
  <c r="L149" i="4"/>
  <c r="L150" i="4"/>
  <c r="L151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90" i="4"/>
  <c r="L189" i="4"/>
  <c r="L191" i="4"/>
  <c r="L192" i="4"/>
  <c r="L193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17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O8" i="5" l="1"/>
  <c r="O6" i="5"/>
  <c r="O10" i="5"/>
  <c r="N104" i="5"/>
  <c r="N6" i="5"/>
  <c r="N10" i="5"/>
  <c r="N8" i="5"/>
  <c r="H9" i="5"/>
  <c r="O9" i="5" s="1"/>
  <c r="H7" i="5"/>
  <c r="O7" i="5" s="1"/>
  <c r="H11" i="5"/>
  <c r="O11" i="5" s="1"/>
  <c r="K149" i="5"/>
  <c r="K145" i="5"/>
  <c r="K141" i="5"/>
  <c r="K125" i="5"/>
  <c r="N9" i="5" l="1"/>
  <c r="N7" i="5"/>
  <c r="N11" i="5"/>
  <c r="H4" i="5"/>
  <c r="O4" i="5" s="1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N4" i="5" l="1"/>
  <c r="I5" i="5"/>
  <c r="H5" i="5" s="1"/>
  <c r="O5" i="5" s="1"/>
  <c r="H3" i="5"/>
  <c r="O3" i="5" s="1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N3" i="5" l="1"/>
  <c r="N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6" i="4"/>
  <c r="C324" i="6"/>
  <c r="C176" i="4"/>
  <c r="C104" i="4"/>
  <c r="C263" i="6"/>
  <c r="C47" i="4"/>
  <c r="C191" i="6"/>
  <c r="C193" i="5"/>
  <c r="C29" i="2"/>
  <c r="C366" i="6"/>
  <c r="C17" i="3"/>
  <c r="C197" i="6"/>
  <c r="C100" i="4"/>
  <c r="C389" i="6"/>
  <c r="C27" i="1"/>
  <c r="C47" i="1"/>
  <c r="C77" i="1"/>
  <c r="C316" i="6"/>
  <c r="C41" i="5"/>
  <c r="C212" i="5"/>
  <c r="C219" i="5"/>
  <c r="C162" i="5"/>
  <c r="C20" i="2"/>
  <c r="C61" i="5"/>
  <c r="C168" i="5"/>
  <c r="C193" i="6"/>
  <c r="C131" i="6"/>
  <c r="C158" i="5"/>
  <c r="C188" i="5"/>
  <c r="C226" i="6"/>
  <c r="C4" i="3"/>
  <c r="C70" i="1"/>
  <c r="C16" i="3"/>
  <c r="C122" i="4"/>
  <c r="C57" i="4"/>
  <c r="C225" i="6"/>
  <c r="C342" i="6"/>
  <c r="C195" i="6"/>
  <c r="C358" i="6"/>
  <c r="C155" i="6"/>
  <c r="C154" i="4"/>
  <c r="C23" i="6"/>
  <c r="C111" i="5"/>
  <c r="C85" i="6"/>
  <c r="C74" i="4"/>
  <c r="C222" i="6"/>
  <c r="C42" i="5"/>
  <c r="C218" i="4"/>
  <c r="C53" i="5"/>
  <c r="C135" i="5"/>
  <c r="C27" i="2"/>
  <c r="C15" i="6"/>
  <c r="C77" i="6"/>
  <c r="C107" i="4"/>
  <c r="C5" i="3"/>
  <c r="C140" i="5"/>
  <c r="C174" i="6"/>
  <c r="C108" i="4"/>
  <c r="C126" i="6"/>
  <c r="C149" i="4"/>
  <c r="C116" i="6"/>
  <c r="C124" i="5"/>
  <c r="C178" i="4"/>
  <c r="C202" i="6"/>
  <c r="C132" i="6"/>
  <c r="C34" i="1"/>
  <c r="C202" i="5"/>
  <c r="C2" i="5"/>
  <c r="C17" i="4"/>
  <c r="C271" i="6"/>
  <c r="C84" i="6"/>
  <c r="C4" i="6"/>
  <c r="C108" i="6"/>
  <c r="C166" i="4"/>
  <c r="C74" i="1"/>
  <c r="C62" i="1"/>
  <c r="C58" i="5"/>
  <c r="C382" i="6"/>
  <c r="C146" i="4"/>
  <c r="C177" i="4"/>
  <c r="C63" i="4"/>
  <c r="C95" i="6"/>
  <c r="C148" i="6"/>
  <c r="C90" i="4"/>
  <c r="C109" i="4"/>
  <c r="C167" i="5"/>
  <c r="C155" i="5"/>
  <c r="C151" i="4"/>
  <c r="C213" i="5"/>
  <c r="C370" i="6"/>
  <c r="C50" i="6"/>
  <c r="C138" i="5"/>
  <c r="C26" i="3"/>
  <c r="C22" i="5"/>
  <c r="C352" i="6"/>
  <c r="C175" i="5"/>
  <c r="C251" i="6"/>
  <c r="C373" i="6"/>
  <c r="C8" i="4"/>
  <c r="C320" i="6"/>
  <c r="C32" i="1"/>
  <c r="C98" i="5"/>
  <c r="C106" i="4"/>
  <c r="C214" i="4"/>
  <c r="C98" i="6"/>
  <c r="C174" i="4"/>
  <c r="C29" i="6"/>
  <c r="C38" i="5"/>
  <c r="C364" i="6"/>
  <c r="C24" i="6"/>
  <c r="C205" i="5"/>
  <c r="C232" i="6"/>
  <c r="C68" i="5"/>
  <c r="C272" i="6"/>
  <c r="C179" i="5"/>
  <c r="C384" i="6"/>
  <c r="C157" i="6"/>
  <c r="C348" i="6"/>
  <c r="C267" i="6"/>
  <c r="C62" i="6"/>
  <c r="C60" i="1"/>
  <c r="C116" i="5"/>
  <c r="C223" i="4"/>
  <c r="C300" i="6"/>
  <c r="C201" i="4"/>
  <c r="C95" i="4"/>
  <c r="C3" i="4"/>
  <c r="C77" i="4"/>
  <c r="C217" i="6"/>
  <c r="C291" i="6"/>
  <c r="C195" i="5"/>
  <c r="C27" i="5"/>
  <c r="C85" i="4"/>
  <c r="C214" i="6"/>
  <c r="C111" i="4"/>
  <c r="C32" i="6"/>
  <c r="C191" i="5"/>
  <c r="C4" i="2"/>
  <c r="C123" i="4"/>
  <c r="C29" i="5"/>
  <c r="C137" i="6"/>
  <c r="C156" i="5"/>
  <c r="C275" i="6"/>
  <c r="C81" i="4"/>
  <c r="C25" i="2"/>
  <c r="C12" i="2"/>
  <c r="C41" i="6"/>
  <c r="C335" i="6"/>
  <c r="C277" i="6"/>
  <c r="C59" i="1"/>
  <c r="C18" i="2"/>
  <c r="C73" i="4"/>
  <c r="C104" i="6"/>
  <c r="C210" i="6"/>
  <c r="C147" i="6"/>
  <c r="C56" i="6"/>
  <c r="C21" i="6"/>
  <c r="C229" i="6"/>
  <c r="C216" i="5"/>
  <c r="C140" i="6"/>
  <c r="C331" i="6"/>
  <c r="C89" i="6"/>
  <c r="C27" i="6"/>
  <c r="C132" i="4"/>
  <c r="C49" i="6"/>
  <c r="C102" i="6"/>
  <c r="C210" i="5"/>
  <c r="C159" i="4"/>
  <c r="C36" i="5"/>
  <c r="C296" i="6"/>
  <c r="C204" i="6"/>
  <c r="C79" i="4"/>
  <c r="C102" i="5"/>
  <c r="C28" i="1"/>
  <c r="C224" i="6"/>
  <c r="C163" i="6"/>
  <c r="C234" i="6"/>
  <c r="C39" i="6"/>
  <c r="C231" i="4"/>
  <c r="C159" i="5"/>
  <c r="C156" i="6"/>
  <c r="C273" i="6"/>
  <c r="C26" i="2"/>
  <c r="C24" i="5"/>
  <c r="C161" i="4"/>
  <c r="C135" i="4"/>
  <c r="C149" i="6"/>
  <c r="C144" i="4"/>
  <c r="C13" i="3"/>
  <c r="C205" i="6"/>
  <c r="C208" i="6"/>
  <c r="C58" i="6"/>
  <c r="C336" i="6"/>
  <c r="C20" i="3"/>
  <c r="C38" i="4"/>
  <c r="C102" i="4"/>
  <c r="C118" i="5"/>
  <c r="C128" i="4"/>
  <c r="C12" i="3"/>
  <c r="C114" i="4"/>
  <c r="C32" i="5"/>
  <c r="C383" i="6"/>
  <c r="C24" i="2"/>
  <c r="C279" i="6"/>
  <c r="C207" i="6"/>
  <c r="C83" i="6"/>
  <c r="C2" i="2"/>
  <c r="C169" i="6"/>
  <c r="C5" i="4"/>
  <c r="C215" i="6"/>
  <c r="C171" i="5"/>
  <c r="C360" i="6"/>
  <c r="C147" i="4"/>
  <c r="C116" i="4"/>
  <c r="C97" i="4"/>
  <c r="C68" i="4"/>
  <c r="C133" i="4"/>
  <c r="C42" i="1"/>
  <c r="C162" i="6"/>
  <c r="C379" i="6"/>
  <c r="C15" i="4"/>
  <c r="C144" i="6"/>
  <c r="C59" i="5"/>
  <c r="C13" i="2"/>
  <c r="C157" i="4"/>
  <c r="C129" i="5"/>
  <c r="C35" i="1"/>
  <c r="C312" i="6"/>
  <c r="C303" i="6"/>
  <c r="C54" i="5"/>
  <c r="C76" i="1"/>
  <c r="C35" i="6"/>
  <c r="C94" i="4"/>
  <c r="C154" i="6"/>
  <c r="C177" i="6"/>
  <c r="C91" i="4"/>
  <c r="C239" i="6"/>
  <c r="C241" i="6"/>
  <c r="C49" i="4"/>
  <c r="C374" i="6"/>
  <c r="C186" i="6"/>
  <c r="C184" i="5"/>
  <c r="C25" i="1"/>
  <c r="C19" i="4"/>
  <c r="C166" i="5"/>
  <c r="C138" i="6"/>
  <c r="C78" i="6"/>
  <c r="C134" i="6"/>
  <c r="C388" i="6"/>
  <c r="C33" i="2"/>
  <c r="C48" i="4"/>
  <c r="C34" i="6"/>
  <c r="C139" i="6"/>
  <c r="C37" i="4"/>
  <c r="C367" i="6"/>
  <c r="C86" i="4"/>
  <c r="C94" i="5"/>
  <c r="C16" i="2"/>
  <c r="C194" i="6"/>
  <c r="C160" i="5"/>
  <c r="C136" i="5"/>
  <c r="C106" i="6"/>
  <c r="C10" i="2"/>
  <c r="C208" i="4"/>
  <c r="C265" i="6"/>
  <c r="C225" i="4"/>
  <c r="C109" i="6"/>
  <c r="C124" i="6"/>
  <c r="C351" i="6"/>
  <c r="C14" i="3"/>
  <c r="C203" i="6"/>
  <c r="C130" i="5"/>
  <c r="C9" i="2"/>
  <c r="C34" i="4"/>
  <c r="C2" i="6"/>
  <c r="C301" i="6"/>
  <c r="C130" i="6"/>
  <c r="C209" i="5"/>
  <c r="C19" i="2"/>
  <c r="C133" i="5"/>
  <c r="C65" i="1"/>
  <c r="C31" i="2"/>
  <c r="C8" i="3"/>
  <c r="C139" i="5"/>
  <c r="C62" i="5"/>
  <c r="C178" i="5"/>
  <c r="C235" i="6"/>
  <c r="C52" i="5"/>
  <c r="C121" i="4"/>
  <c r="C59" i="6"/>
  <c r="C19" i="3"/>
  <c r="C250" i="6"/>
  <c r="C376" i="6"/>
  <c r="C55" i="5"/>
  <c r="C168" i="6"/>
  <c r="C72" i="4"/>
  <c r="C43" i="6"/>
  <c r="C288" i="6"/>
  <c r="C229" i="4"/>
  <c r="C78" i="4"/>
  <c r="C361" i="6"/>
  <c r="C113" i="6"/>
  <c r="C117" i="5"/>
  <c r="C76" i="6"/>
  <c r="C37" i="6"/>
  <c r="C173" i="4"/>
  <c r="C189" i="5"/>
  <c r="C106" i="5"/>
  <c r="C54" i="1"/>
  <c r="C31" i="6"/>
  <c r="C220" i="6"/>
  <c r="C115" i="4"/>
  <c r="C172" i="6"/>
  <c r="C182" i="5"/>
  <c r="C123" i="5"/>
  <c r="C115" i="5"/>
  <c r="C8" i="2"/>
  <c r="C105" i="5"/>
  <c r="C62" i="4"/>
  <c r="C201" i="5"/>
  <c r="C252" i="6"/>
  <c r="C74" i="5"/>
  <c r="C172" i="4"/>
  <c r="C212" i="6"/>
  <c r="C147" i="5"/>
  <c r="C142" i="6"/>
  <c r="C21" i="5"/>
  <c r="C269" i="6"/>
  <c r="C169" i="5"/>
  <c r="C70" i="5"/>
  <c r="C69" i="6"/>
  <c r="C163" i="4"/>
  <c r="C83" i="4"/>
  <c r="C132" i="5"/>
  <c r="C378" i="6"/>
  <c r="C162" i="4"/>
  <c r="C79" i="6"/>
  <c r="C306" i="6"/>
  <c r="C98" i="4"/>
  <c r="C130" i="4"/>
  <c r="C184" i="4"/>
  <c r="C238" i="6"/>
  <c r="C173" i="6"/>
  <c r="C217" i="4"/>
  <c r="C164" i="6"/>
  <c r="C245" i="6"/>
  <c r="C290" i="6"/>
  <c r="C83" i="1"/>
  <c r="C223" i="6"/>
  <c r="C121" i="6"/>
  <c r="C356" i="6"/>
  <c r="C185" i="6"/>
  <c r="C150" i="4"/>
  <c r="C114" i="6"/>
  <c r="C188" i="4"/>
  <c r="C242" i="6"/>
  <c r="C317" i="6"/>
  <c r="C309" i="6"/>
  <c r="C88" i="4"/>
  <c r="C125" i="6"/>
  <c r="C128" i="5"/>
  <c r="C14" i="6"/>
  <c r="C23" i="2"/>
  <c r="C182" i="4"/>
  <c r="C176" i="5"/>
  <c r="C149" i="5"/>
  <c r="C74" i="6"/>
  <c r="C82" i="4"/>
  <c r="C7" i="6"/>
  <c r="C207" i="4"/>
  <c r="C155" i="4"/>
  <c r="C60" i="4"/>
  <c r="C375" i="6"/>
  <c r="C110" i="4"/>
  <c r="C222" i="4"/>
  <c r="C37" i="1"/>
  <c r="C92" i="6"/>
  <c r="C69" i="5"/>
  <c r="C206" i="4"/>
  <c r="C77" i="5"/>
  <c r="C153" i="4"/>
  <c r="C365" i="6"/>
  <c r="C67" i="5"/>
  <c r="C125" i="5"/>
  <c r="C57" i="6"/>
  <c r="C203" i="4"/>
  <c r="C192" i="6"/>
  <c r="C32" i="2"/>
  <c r="C134" i="4"/>
  <c r="C293" i="6"/>
  <c r="C3" i="3"/>
  <c r="C113" i="4"/>
  <c r="C158" i="4"/>
  <c r="C153" i="6"/>
  <c r="C54" i="6"/>
  <c r="C387" i="6"/>
  <c r="C283" i="6"/>
  <c r="C194" i="4"/>
  <c r="C53" i="4"/>
  <c r="C201" i="6"/>
  <c r="C284" i="6"/>
  <c r="C96" i="5"/>
  <c r="C219" i="6"/>
  <c r="C244" i="6"/>
  <c r="C160" i="6"/>
  <c r="C3" i="6"/>
  <c r="C10" i="6"/>
  <c r="C64" i="1"/>
  <c r="C190" i="4"/>
  <c r="C203" i="5"/>
  <c r="C197" i="4"/>
  <c r="C261" i="6"/>
  <c r="C46" i="5"/>
  <c r="C137" i="5"/>
  <c r="C39" i="1"/>
  <c r="C30" i="1"/>
  <c r="C99" i="5"/>
  <c r="C194" i="5"/>
  <c r="C95" i="5"/>
  <c r="C199" i="4"/>
  <c r="C181" i="4"/>
  <c r="C349" i="6"/>
  <c r="C150" i="5"/>
  <c r="C72" i="1"/>
  <c r="C181" i="5"/>
  <c r="C36" i="6"/>
  <c r="C158" i="6"/>
  <c r="C278" i="6"/>
  <c r="C67" i="6"/>
  <c r="C87" i="4"/>
  <c r="C119" i="6"/>
  <c r="C78" i="1"/>
  <c r="C305" i="6"/>
  <c r="C28" i="6"/>
  <c r="C199" i="5"/>
  <c r="C57" i="1"/>
  <c r="C108" i="5"/>
  <c r="C287" i="6"/>
  <c r="C243" i="6"/>
  <c r="C56" i="5"/>
  <c r="C73" i="1"/>
  <c r="C3" i="2"/>
  <c r="C154" i="5"/>
  <c r="C119" i="4"/>
  <c r="C385" i="6"/>
  <c r="C17" i="6"/>
  <c r="C68" i="6"/>
  <c r="C212" i="4"/>
  <c r="C187" i="5"/>
  <c r="C167" i="4"/>
  <c r="C120" i="5"/>
  <c r="C185" i="4"/>
  <c r="C339" i="6"/>
  <c r="C24" i="1"/>
  <c r="C2" i="4"/>
  <c r="C217" i="5"/>
  <c r="C190" i="5"/>
  <c r="C54" i="4"/>
  <c r="C67" i="4"/>
  <c r="C10" i="3"/>
  <c r="C299" i="6"/>
  <c r="C258" i="6"/>
  <c r="C61" i="4"/>
  <c r="C9" i="4"/>
  <c r="C11" i="6"/>
  <c r="C18" i="3"/>
  <c r="C327" i="6"/>
  <c r="C25" i="5"/>
  <c r="C9" i="3"/>
  <c r="C184" i="6"/>
  <c r="C304" i="6"/>
  <c r="C87" i="6"/>
  <c r="C214" i="5"/>
  <c r="C55" i="1"/>
  <c r="C177" i="5"/>
  <c r="C321" i="6"/>
  <c r="C228" i="6"/>
  <c r="C227" i="6"/>
  <c r="C355" i="6"/>
  <c r="C112" i="4"/>
  <c r="C42" i="6"/>
  <c r="C15" i="2"/>
  <c r="C247" i="6"/>
  <c r="C118" i="6"/>
  <c r="C221" i="5"/>
  <c r="C99" i="4"/>
  <c r="C259" i="6"/>
  <c r="C218" i="6"/>
  <c r="C45" i="5"/>
  <c r="C220" i="5"/>
  <c r="C40" i="6"/>
  <c r="C19" i="5"/>
  <c r="C292" i="6"/>
  <c r="C31" i="1"/>
  <c r="C362" i="6"/>
  <c r="C165" i="5"/>
  <c r="C94" i="6"/>
  <c r="C237" i="6"/>
  <c r="C39" i="5"/>
  <c r="C50" i="4"/>
  <c r="C11" i="4"/>
  <c r="C113" i="5"/>
  <c r="C357" i="6"/>
  <c r="C183" i="4"/>
  <c r="C28" i="5"/>
  <c r="C270" i="6"/>
  <c r="C329" i="6"/>
  <c r="C125" i="4"/>
  <c r="C209" i="4"/>
  <c r="C53" i="6"/>
  <c r="C69" i="1"/>
  <c r="C57" i="5"/>
  <c r="C80" i="1"/>
  <c r="C145" i="5"/>
  <c r="C372" i="6"/>
  <c r="C180" i="6"/>
  <c r="C63" i="1"/>
  <c r="C386" i="6"/>
  <c r="C36" i="4"/>
  <c r="C338" i="6"/>
  <c r="C72" i="5"/>
  <c r="C297" i="6"/>
  <c r="C141" i="4"/>
  <c r="C151" i="6"/>
  <c r="C15" i="3"/>
  <c r="C22" i="2"/>
  <c r="C142" i="4"/>
  <c r="C169" i="4"/>
  <c r="C266" i="6"/>
  <c r="C26" i="5"/>
  <c r="C65" i="5"/>
  <c r="C20" i="6"/>
  <c r="C115" i="6"/>
  <c r="C6" i="4"/>
  <c r="C33" i="4"/>
  <c r="C248" i="6"/>
  <c r="C174" i="5"/>
  <c r="C61" i="1"/>
  <c r="C191" i="4"/>
  <c r="C146" i="5"/>
  <c r="C21" i="3"/>
  <c r="C189" i="6"/>
  <c r="C138" i="4"/>
  <c r="C128" i="6"/>
  <c r="C255" i="6"/>
  <c r="C71" i="5"/>
  <c r="C43" i="4"/>
  <c r="C311" i="6"/>
  <c r="C60" i="5"/>
  <c r="C175" i="6"/>
  <c r="C205" i="4"/>
  <c r="C163" i="5"/>
  <c r="C178" i="6"/>
  <c r="C13" i="6"/>
  <c r="C202" i="4"/>
  <c r="C75" i="5"/>
  <c r="C222" i="5"/>
  <c r="C35" i="4"/>
  <c r="C19" i="6"/>
  <c r="C161" i="5"/>
  <c r="C200" i="6"/>
  <c r="C40" i="1"/>
  <c r="C359" i="6"/>
  <c r="C50" i="5"/>
  <c r="C53" i="1"/>
  <c r="C341" i="6"/>
  <c r="C193" i="4"/>
  <c r="C14" i="2"/>
  <c r="C220" i="4"/>
  <c r="C231" i="6"/>
  <c r="C363" i="6"/>
  <c r="C207" i="5"/>
  <c r="C13" i="5"/>
  <c r="C45" i="4"/>
  <c r="C344" i="6"/>
  <c r="C150" i="6"/>
  <c r="C14" i="4"/>
  <c r="C314" i="6"/>
  <c r="C75" i="6"/>
  <c r="C64" i="5"/>
  <c r="C56" i="1"/>
  <c r="C11" i="2"/>
  <c r="C75" i="4"/>
  <c r="C196" i="5"/>
  <c r="C152" i="4"/>
  <c r="C215" i="4"/>
  <c r="C133" i="6"/>
  <c r="C76" i="5"/>
  <c r="C151" i="5"/>
  <c r="C71" i="1"/>
  <c r="C44" i="5"/>
  <c r="C12" i="5"/>
  <c r="C325" i="6"/>
  <c r="C79" i="1"/>
  <c r="C176" i="6"/>
  <c r="C38" i="1"/>
  <c r="C145" i="4"/>
  <c r="C152" i="5"/>
  <c r="C230" i="6"/>
  <c r="C328" i="6"/>
  <c r="C160" i="4"/>
  <c r="C198" i="4"/>
  <c r="C209" i="6"/>
  <c r="C26" i="4"/>
  <c r="C136" i="4"/>
  <c r="C15" i="5"/>
  <c r="C166" i="6"/>
  <c r="C122" i="5"/>
  <c r="C206" i="5"/>
  <c r="C179" i="4"/>
  <c r="C118" i="4"/>
  <c r="C196" i="6"/>
  <c r="C5" i="2"/>
  <c r="C84" i="1"/>
  <c r="C185" i="5"/>
  <c r="C135" i="6"/>
  <c r="C354" i="6"/>
  <c r="C29" i="1"/>
  <c r="C41" i="1"/>
  <c r="C48" i="6"/>
  <c r="C45" i="6"/>
  <c r="C76" i="4"/>
  <c r="C322" i="6"/>
  <c r="C93" i="4"/>
  <c r="C69" i="4"/>
  <c r="C211" i="4"/>
  <c r="C9" i="6"/>
  <c r="C127" i="5"/>
  <c r="C84" i="4"/>
  <c r="C249" i="6"/>
  <c r="C100" i="6"/>
  <c r="C8" i="6"/>
  <c r="C286" i="6"/>
  <c r="C343" i="6"/>
  <c r="C371" i="6"/>
  <c r="C126" i="4"/>
  <c r="C18" i="6"/>
  <c r="C298" i="6"/>
  <c r="C64" i="4"/>
  <c r="C143" i="6"/>
  <c r="C68" i="1"/>
  <c r="C180" i="4"/>
  <c r="C81" i="6"/>
  <c r="C10" i="4"/>
  <c r="C25" i="6"/>
  <c r="C196" i="4"/>
  <c r="C66" i="1"/>
  <c r="C143" i="4"/>
  <c r="C146" i="6"/>
  <c r="C346" i="6"/>
  <c r="C80" i="6"/>
  <c r="C82" i="6"/>
  <c r="C111" i="6"/>
  <c r="C369" i="6"/>
  <c r="C117" i="6"/>
  <c r="C313" i="6"/>
  <c r="C333" i="6"/>
  <c r="C226" i="4"/>
  <c r="C110" i="5"/>
  <c r="C109" i="5"/>
  <c r="C35" i="5"/>
  <c r="C119" i="5"/>
  <c r="C148" i="5"/>
  <c r="C262" i="6"/>
  <c r="C21" i="2"/>
  <c r="C20" i="5"/>
  <c r="C127" i="4"/>
  <c r="C188" i="6"/>
  <c r="C153" i="5"/>
  <c r="C7" i="2"/>
  <c r="C211" i="5"/>
  <c r="C43" i="5"/>
  <c r="C36" i="1"/>
  <c r="C93" i="5"/>
  <c r="C221" i="6"/>
  <c r="C90" i="6"/>
  <c r="C310" i="6"/>
  <c r="C165" i="6"/>
  <c r="C274" i="6"/>
  <c r="C173" i="5"/>
  <c r="C63" i="6"/>
  <c r="C232" i="4"/>
  <c r="C381" i="6"/>
  <c r="C75" i="1"/>
  <c r="C186" i="5"/>
  <c r="C233" i="6"/>
  <c r="C170" i="5"/>
  <c r="C65" i="6"/>
  <c r="C347" i="6"/>
  <c r="C183" i="5"/>
  <c r="C353" i="6"/>
  <c r="C141" i="5"/>
  <c r="C200" i="5"/>
  <c r="C120" i="6"/>
  <c r="C206" i="6"/>
  <c r="C198" i="5"/>
  <c r="C144" i="5"/>
  <c r="C139" i="4"/>
  <c r="C192" i="5"/>
  <c r="C28" i="4"/>
  <c r="C52" i="6"/>
  <c r="C136" i="6"/>
  <c r="C103" i="5"/>
  <c r="C302" i="6"/>
  <c r="C5" i="6"/>
  <c r="C230" i="4"/>
  <c r="C47" i="6"/>
  <c r="C129" i="6"/>
  <c r="C215" i="5"/>
  <c r="C46" i="6"/>
  <c r="C141" i="6"/>
  <c r="C112" i="6"/>
  <c r="C6" i="6"/>
  <c r="C81" i="1"/>
  <c r="C101" i="6"/>
  <c r="C330" i="6"/>
  <c r="C157" i="5"/>
  <c r="C25" i="4"/>
  <c r="C23" i="3"/>
  <c r="C221" i="4"/>
  <c r="C170" i="6"/>
  <c r="C282" i="6"/>
  <c r="C22" i="3"/>
  <c r="C167" i="6"/>
  <c r="C182" i="6"/>
  <c r="C164" i="4"/>
  <c r="C276" i="6"/>
  <c r="C17" i="5"/>
  <c r="C281" i="6"/>
  <c r="C134" i="5"/>
  <c r="C143" i="5"/>
  <c r="C204" i="5"/>
  <c r="C66" i="5"/>
  <c r="C213" i="4"/>
  <c r="C192" i="4"/>
  <c r="C93" i="6"/>
  <c r="C122" i="6"/>
  <c r="C48" i="5"/>
  <c r="C294" i="6"/>
  <c r="C187" i="6"/>
  <c r="C55" i="6"/>
  <c r="C257" i="6"/>
  <c r="C73" i="5"/>
  <c r="C73" i="6"/>
  <c r="C66" i="6"/>
  <c r="C14" i="5"/>
  <c r="C280" i="6"/>
  <c r="C340" i="6"/>
  <c r="C179" i="6"/>
  <c r="C33" i="6"/>
  <c r="C159" i="6"/>
  <c r="C61" i="6"/>
  <c r="C126" i="5"/>
  <c r="C64" i="6"/>
  <c r="C260" i="6"/>
  <c r="C105" i="4"/>
  <c r="C127" i="6"/>
  <c r="C51" i="6"/>
  <c r="C123" i="6"/>
  <c r="C100" i="5"/>
  <c r="C30" i="6"/>
  <c r="C103" i="6"/>
  <c r="C107" i="6"/>
  <c r="C334" i="6"/>
  <c r="C55" i="4"/>
  <c r="C319" i="6"/>
  <c r="C168" i="4"/>
  <c r="C315" i="6"/>
  <c r="C198" i="6"/>
  <c r="C165" i="4"/>
  <c r="C380" i="6"/>
  <c r="C6" i="2"/>
  <c r="C103" i="4"/>
  <c r="C181" i="6"/>
  <c r="C137" i="4"/>
  <c r="C97" i="6"/>
  <c r="C190" i="6"/>
  <c r="C323" i="6"/>
  <c r="C377" i="6"/>
  <c r="C224" i="4"/>
  <c r="C91" i="6"/>
  <c r="C172" i="5"/>
  <c r="C307" i="6"/>
  <c r="C152" i="6"/>
  <c r="C70" i="4"/>
  <c r="C86" i="6"/>
  <c r="C82" i="1"/>
  <c r="C268" i="6"/>
  <c r="C33" i="1"/>
  <c r="C51" i="5"/>
  <c r="C295" i="6"/>
  <c r="C72" i="6"/>
  <c r="C129" i="4"/>
  <c r="C78" i="5"/>
  <c r="C156" i="4"/>
  <c r="C71" i="6"/>
  <c r="C183" i="6"/>
  <c r="C44" i="6"/>
  <c r="C210" i="4"/>
  <c r="C22" i="6"/>
  <c r="C124" i="4"/>
  <c r="C117" i="4"/>
  <c r="C96" i="6"/>
  <c r="C131" i="5"/>
  <c r="C120" i="4"/>
  <c r="C7" i="4"/>
  <c r="C110" i="6"/>
  <c r="C88" i="6"/>
  <c r="C256" i="6"/>
  <c r="C12" i="6"/>
  <c r="C218" i="5"/>
  <c r="C4" i="4"/>
  <c r="C23" i="4"/>
  <c r="C253" i="6"/>
  <c r="C22" i="4"/>
  <c r="C114" i="5"/>
  <c r="C60" i="6"/>
  <c r="C148" i="4"/>
  <c r="C254" i="6"/>
  <c r="C79" i="5"/>
  <c r="C216" i="4"/>
  <c r="C187" i="4"/>
  <c r="C97" i="5"/>
  <c r="C175" i="4"/>
  <c r="C145" i="6"/>
  <c r="C16" i="6"/>
  <c r="C161" i="6"/>
  <c r="C2" i="3"/>
  <c r="C56" i="4"/>
  <c r="C16" i="5"/>
  <c r="C99" i="6"/>
  <c r="C200" i="4"/>
  <c r="C23" i="5"/>
  <c r="C289" i="6"/>
  <c r="C171" i="6"/>
  <c r="C29" i="4"/>
  <c r="C70" i="6"/>
  <c r="C131" i="4"/>
  <c r="C337" i="6"/>
  <c r="C105" i="6"/>
  <c r="C199" i="6"/>
  <c r="C25" i="3"/>
  <c r="C30" i="5"/>
  <c r="C208" i="5"/>
  <c r="C164" i="5"/>
  <c r="C227" i="4"/>
  <c r="C345" i="6"/>
  <c r="C30" i="2"/>
  <c r="C189" i="4"/>
  <c r="C186" i="4"/>
  <c r="C26" i="6"/>
  <c r="C38" i="6"/>
  <c r="C49" i="5"/>
  <c r="C204" i="4"/>
  <c r="C47" i="5"/>
  <c r="C20" i="4"/>
  <c r="C18" i="5"/>
  <c r="C171" i="4"/>
  <c r="C101" i="5"/>
  <c r="C285" i="6"/>
  <c r="C308" i="6"/>
  <c r="C264" i="6"/>
  <c r="C197" i="5"/>
  <c r="C318" i="6"/>
  <c r="C216" i="6"/>
  <c r="C80" i="4"/>
  <c r="C332" i="6"/>
  <c r="C33" i="5"/>
  <c r="C28" i="2"/>
  <c r="C71" i="4"/>
  <c r="C63" i="5"/>
  <c r="C58" i="1"/>
  <c r="C326" i="6"/>
  <c r="C368" i="6"/>
  <c r="C101" i="4"/>
  <c r="C213" i="6"/>
  <c r="C240" i="6"/>
  <c r="C219" i="4"/>
  <c r="C24" i="3"/>
  <c r="C180" i="5"/>
  <c r="C142" i="5"/>
  <c r="C92" i="4"/>
  <c r="C112" i="5"/>
  <c r="C246" i="6"/>
  <c r="C121" i="5"/>
  <c r="C170" i="4"/>
  <c r="C11" i="3"/>
  <c r="C67" i="1"/>
  <c r="C350" i="6"/>
  <c r="C195" i="4"/>
  <c r="C140" i="4"/>
  <c r="C211" i="6"/>
  <c r="C17" i="2"/>
  <c r="C228" i="4"/>
  <c r="C236" i="6"/>
  <c r="O246" i="6" l="1"/>
  <c r="O110" i="6"/>
  <c r="O181" i="6"/>
  <c r="O46" i="6"/>
  <c r="O47" i="6"/>
  <c r="O8" i="6"/>
  <c r="O119" i="6"/>
  <c r="O7" i="6"/>
  <c r="O194" i="6"/>
  <c r="O388" i="6"/>
  <c r="O50" i="6"/>
  <c r="O77" i="6"/>
  <c r="O2" i="6"/>
  <c r="O18" i="5"/>
  <c r="O47" i="5"/>
  <c r="O49" i="5"/>
  <c r="O16" i="5"/>
  <c r="O97" i="5"/>
  <c r="O51" i="5"/>
  <c r="O100" i="5"/>
  <c r="O48" i="5"/>
  <c r="O103" i="5"/>
  <c r="O93" i="5"/>
  <c r="O43" i="5"/>
  <c r="O20" i="5"/>
  <c r="O35" i="5"/>
  <c r="O12" i="5"/>
  <c r="O44" i="5"/>
  <c r="O13" i="5"/>
  <c r="O50" i="5"/>
  <c r="O45" i="5"/>
  <c r="O120" i="5"/>
  <c r="O108" i="5"/>
  <c r="O95" i="5"/>
  <c r="O99" i="5"/>
  <c r="O46" i="5"/>
  <c r="O96" i="5"/>
  <c r="O105" i="5"/>
  <c r="O52" i="5"/>
  <c r="O62" i="5"/>
  <c r="O94" i="5"/>
  <c r="O32" i="5"/>
  <c r="O24" i="5"/>
  <c r="O29" i="5"/>
  <c r="O68" i="5"/>
  <c r="O38" i="5"/>
  <c r="O98" i="5"/>
  <c r="O22" i="5"/>
  <c r="O124" i="5"/>
  <c r="O42" i="5"/>
  <c r="O219" i="5"/>
  <c r="O41" i="5"/>
  <c r="O2" i="5"/>
  <c r="O11" i="3"/>
  <c r="O24" i="3"/>
  <c r="O25" i="3"/>
  <c r="O22" i="3"/>
  <c r="O23" i="3"/>
  <c r="O21" i="3"/>
  <c r="O15" i="3"/>
  <c r="O9" i="3"/>
  <c r="O10" i="3"/>
  <c r="O3" i="3"/>
  <c r="O8" i="3"/>
  <c r="O14" i="3"/>
  <c r="O12" i="3"/>
  <c r="O13" i="3"/>
  <c r="O26" i="3"/>
  <c r="O5" i="3"/>
  <c r="O16" i="3"/>
  <c r="O4" i="3"/>
  <c r="O2" i="3"/>
  <c r="O228" i="4"/>
  <c r="O71" i="4"/>
  <c r="O186" i="4"/>
  <c r="O7" i="4"/>
  <c r="O192" i="4"/>
  <c r="O230" i="4"/>
  <c r="O198" i="4"/>
  <c r="O14" i="4"/>
  <c r="O193" i="4"/>
  <c r="O217" i="4"/>
  <c r="O72" i="4"/>
  <c r="O114" i="4"/>
  <c r="O128" i="4"/>
  <c r="O102" i="4"/>
  <c r="O73" i="4"/>
  <c r="O3" i="4"/>
  <c r="O106" i="4"/>
  <c r="O151" i="4"/>
  <c r="O2" i="4"/>
  <c r="O17" i="2"/>
  <c r="O21" i="2"/>
  <c r="O5" i="2"/>
  <c r="O11" i="2"/>
  <c r="O14" i="2"/>
  <c r="O22" i="2"/>
  <c r="O15" i="2"/>
  <c r="O23" i="2"/>
  <c r="O8" i="2"/>
  <c r="O19" i="2"/>
  <c r="O16" i="2"/>
  <c r="O13" i="2"/>
  <c r="O24" i="2"/>
  <c r="O18" i="2"/>
  <c r="O12" i="2"/>
  <c r="O20" i="2"/>
  <c r="O29" i="2"/>
  <c r="O2" i="2"/>
  <c r="I78" i="4"/>
  <c r="H78" i="4" s="1"/>
  <c r="N78" i="4" s="1"/>
  <c r="N93" i="5"/>
  <c r="N96" i="5"/>
  <c r="N94" i="5"/>
  <c r="N95" i="5"/>
  <c r="I59" i="5"/>
  <c r="H59" i="5" s="1"/>
  <c r="N59" i="5" s="1"/>
  <c r="I32" i="6"/>
  <c r="H32" i="6" s="1"/>
  <c r="N32" i="6" s="1"/>
  <c r="N23" i="2"/>
  <c r="I23" i="2"/>
  <c r="H23" i="2" s="1"/>
  <c r="I51" i="6"/>
  <c r="H51" i="6" s="1"/>
  <c r="O51" i="6" s="1"/>
  <c r="I34" i="4"/>
  <c r="H34" i="4" s="1"/>
  <c r="N34" i="4" s="1"/>
  <c r="I32" i="1"/>
  <c r="H32" i="1" s="1"/>
  <c r="N32" i="1" s="1"/>
  <c r="N64" i="1"/>
  <c r="O64" i="1"/>
  <c r="I64" i="1"/>
  <c r="H64" i="1" s="1"/>
  <c r="I176" i="5"/>
  <c r="H176" i="5" s="1"/>
  <c r="N176" i="5" s="1"/>
  <c r="O54" i="1"/>
  <c r="I54" i="1"/>
  <c r="H54" i="1" s="1"/>
  <c r="N54" i="1"/>
  <c r="I107" i="4"/>
  <c r="H107" i="4" s="1"/>
  <c r="N107" i="4" s="1"/>
  <c r="I221" i="4"/>
  <c r="H221" i="4" s="1"/>
  <c r="N221" i="4" s="1"/>
  <c r="I211" i="4"/>
  <c r="H211" i="4" s="1"/>
  <c r="O211" i="4" s="1"/>
  <c r="I218" i="4"/>
  <c r="H218" i="4" s="1"/>
  <c r="O218" i="4" s="1"/>
  <c r="N217" i="4"/>
  <c r="I217" i="4"/>
  <c r="H217" i="4" s="1"/>
  <c r="I14" i="2"/>
  <c r="H14" i="2" s="1"/>
  <c r="N14" i="2"/>
  <c r="I208" i="4"/>
  <c r="H208" i="4" s="1"/>
  <c r="N208" i="4" s="1"/>
  <c r="I111" i="5"/>
  <c r="H111" i="5" s="1"/>
  <c r="N111" i="5" s="1"/>
  <c r="N29" i="2"/>
  <c r="I29" i="2"/>
  <c r="H29" i="2" s="1"/>
  <c r="I34" i="6"/>
  <c r="H34" i="6" s="1"/>
  <c r="N34" i="6" s="1"/>
  <c r="I19" i="2"/>
  <c r="H19" i="2" s="1"/>
  <c r="N19" i="2"/>
  <c r="I224" i="4"/>
  <c r="H224" i="4" s="1"/>
  <c r="N224" i="4" s="1"/>
  <c r="I115" i="4"/>
  <c r="H115" i="4" s="1"/>
  <c r="N115" i="4" s="1"/>
  <c r="I150" i="5"/>
  <c r="H150" i="5" s="1"/>
  <c r="I151" i="5" s="1"/>
  <c r="H151" i="5" s="1"/>
  <c r="N151" i="5" s="1"/>
  <c r="I222" i="6"/>
  <c r="H222" i="6" s="1"/>
  <c r="O222" i="6" s="1"/>
  <c r="I79" i="5"/>
  <c r="H79" i="5" s="1"/>
  <c r="N79" i="5" s="1"/>
  <c r="I35" i="1"/>
  <c r="H35" i="1" s="1"/>
  <c r="N35" i="1" s="1"/>
  <c r="I27" i="2"/>
  <c r="H27" i="2" s="1"/>
  <c r="O27" i="2" s="1"/>
  <c r="I189" i="4"/>
  <c r="H189" i="4" s="1"/>
  <c r="O189" i="4" s="1"/>
  <c r="I123" i="5"/>
  <c r="H123" i="5" s="1"/>
  <c r="N123" i="5" s="1"/>
  <c r="I12" i="6"/>
  <c r="H12" i="6" s="1"/>
  <c r="O12" i="6" s="1"/>
  <c r="N98" i="5"/>
  <c r="I98" i="5"/>
  <c r="H98" i="5" s="1"/>
  <c r="I220" i="5"/>
  <c r="H220" i="5" s="1"/>
  <c r="N220" i="5" s="1"/>
  <c r="N5" i="2"/>
  <c r="I5" i="2"/>
  <c r="H5" i="2" s="1"/>
  <c r="N50" i="6"/>
  <c r="I50" i="6"/>
  <c r="H50" i="6" s="1"/>
  <c r="I56" i="5"/>
  <c r="H56" i="5" s="1"/>
  <c r="N56" i="5" s="1"/>
  <c r="I119" i="5"/>
  <c r="H119" i="5" s="1"/>
  <c r="N119" i="5" s="1"/>
  <c r="I18" i="3"/>
  <c r="H18" i="3" s="1"/>
  <c r="O18" i="3" s="1"/>
  <c r="I77" i="1"/>
  <c r="H77" i="1" s="1"/>
  <c r="N77" i="1"/>
  <c r="O77" i="1"/>
  <c r="I39" i="1"/>
  <c r="H39" i="1" s="1"/>
  <c r="N39" i="1" s="1"/>
  <c r="I190" i="5"/>
  <c r="H190" i="5" s="1"/>
  <c r="N190" i="5" s="1"/>
  <c r="I156" i="4"/>
  <c r="H156" i="4" s="1"/>
  <c r="I157" i="4" s="1"/>
  <c r="H157" i="4" s="1"/>
  <c r="N157" i="4" s="1"/>
  <c r="I24" i="5"/>
  <c r="H24" i="5" s="1"/>
  <c r="N24" i="5"/>
  <c r="I25" i="2"/>
  <c r="H25" i="2" s="1"/>
  <c r="O25" i="2" s="1"/>
  <c r="I207" i="5"/>
  <c r="H207" i="5" s="1"/>
  <c r="N207" i="5" s="1"/>
  <c r="I2" i="3"/>
  <c r="H2" i="3" s="1"/>
  <c r="N2" i="3"/>
  <c r="N99" i="5"/>
  <c r="I99" i="5"/>
  <c r="H99" i="5" s="1"/>
  <c r="I64" i="4"/>
  <c r="H64" i="4" s="1"/>
  <c r="I65" i="4" s="1"/>
  <c r="I25" i="6"/>
  <c r="I199" i="6"/>
  <c r="H199" i="6" s="1"/>
  <c r="N199" i="6" s="1"/>
  <c r="N21" i="2"/>
  <c r="I21" i="2"/>
  <c r="H21" i="2" s="1"/>
  <c r="I190" i="4"/>
  <c r="H190" i="4" s="1"/>
  <c r="O190" i="4" s="1"/>
  <c r="I79" i="6"/>
  <c r="H79" i="6" s="1"/>
  <c r="N79" i="6" s="1"/>
  <c r="I47" i="5"/>
  <c r="H47" i="5" s="1"/>
  <c r="N47" i="5"/>
  <c r="I73" i="4"/>
  <c r="H73" i="4" s="1"/>
  <c r="N73" i="4"/>
  <c r="I95" i="5"/>
  <c r="H95" i="5" s="1"/>
  <c r="I39" i="6"/>
  <c r="H39" i="6" s="1"/>
  <c r="O39" i="6" s="1"/>
  <c r="I188" i="6"/>
  <c r="H188" i="6" s="1"/>
  <c r="O188" i="6" s="1"/>
  <c r="I20" i="4"/>
  <c r="H20" i="4" s="1"/>
  <c r="I21" i="4" s="1"/>
  <c r="H21" i="4" s="1"/>
  <c r="O21" i="4" s="1"/>
  <c r="N105" i="5"/>
  <c r="I105" i="5"/>
  <c r="H105" i="5" s="1"/>
  <c r="I124" i="5"/>
  <c r="N124" i="5"/>
  <c r="I233" i="6"/>
  <c r="H233" i="6" s="1"/>
  <c r="I234" i="6" s="1"/>
  <c r="H234" i="6" s="1"/>
  <c r="O234" i="6" s="1"/>
  <c r="N42" i="5"/>
  <c r="I42" i="5"/>
  <c r="H42" i="5" s="1"/>
  <c r="I63" i="5"/>
  <c r="H63" i="5" s="1"/>
  <c r="N63" i="5" s="1"/>
  <c r="I183" i="4"/>
  <c r="H183" i="4" s="1"/>
  <c r="I184" i="4" s="1"/>
  <c r="H184" i="4" s="1"/>
  <c r="N184" i="4" s="1"/>
  <c r="I86" i="4"/>
  <c r="H86" i="4" s="1"/>
  <c r="N86" i="4" s="1"/>
  <c r="I48" i="5"/>
  <c r="H48" i="5" s="1"/>
  <c r="N48" i="5"/>
  <c r="N20" i="5"/>
  <c r="I20" i="5"/>
  <c r="H20" i="5" s="1"/>
  <c r="I74" i="5"/>
  <c r="H74" i="5" s="1"/>
  <c r="N74" i="5" s="1"/>
  <c r="I200" i="4"/>
  <c r="H200" i="4" s="1"/>
  <c r="O200" i="4" s="1"/>
  <c r="I231" i="4"/>
  <c r="H231" i="4" s="1"/>
  <c r="N231" i="4" s="1"/>
  <c r="N230" i="4"/>
  <c r="I230" i="4"/>
  <c r="H230" i="4" s="1"/>
  <c r="I151" i="4"/>
  <c r="H151" i="4" s="1"/>
  <c r="N151" i="4"/>
  <c r="I122" i="6"/>
  <c r="H122" i="6" s="1"/>
  <c r="O122" i="6" s="1"/>
  <c r="I125" i="4"/>
  <c r="H125" i="4" s="1"/>
  <c r="I126" i="4" s="1"/>
  <c r="H126" i="4" s="1"/>
  <c r="N126" i="4" s="1"/>
  <c r="I59" i="1"/>
  <c r="H59" i="1" s="1"/>
  <c r="O59" i="1"/>
  <c r="N59" i="1"/>
  <c r="I209" i="4"/>
  <c r="H209" i="4" s="1"/>
  <c r="N209" i="4" s="1"/>
  <c r="I2" i="5"/>
  <c r="H2" i="5" s="1"/>
  <c r="N2" i="5"/>
  <c r="I55" i="5"/>
  <c r="H55" i="5" s="1"/>
  <c r="N55" i="5" s="1"/>
  <c r="I178" i="5"/>
  <c r="H178" i="5" s="1"/>
  <c r="N178" i="5" s="1"/>
  <c r="N17" i="2"/>
  <c r="I17" i="2"/>
  <c r="H17" i="2" s="1"/>
  <c r="I78" i="6"/>
  <c r="H78" i="6" s="1"/>
  <c r="N78" i="6" s="1"/>
  <c r="I139" i="4"/>
  <c r="H139" i="4" s="1"/>
  <c r="I140" i="4" s="1"/>
  <c r="H140" i="4" s="1"/>
  <c r="I141" i="4" s="1"/>
  <c r="H141" i="4" s="1"/>
  <c r="O141" i="4" s="1"/>
  <c r="I6" i="6"/>
  <c r="H6" i="6" s="1"/>
  <c r="N6" i="6" s="1"/>
  <c r="I43" i="4"/>
  <c r="H43" i="4" s="1"/>
  <c r="N43" i="4" s="1"/>
  <c r="I132" i="4"/>
  <c r="H132" i="4" s="1"/>
  <c r="N132" i="4" s="1"/>
  <c r="I187" i="5"/>
  <c r="H187" i="5" s="1"/>
  <c r="I188" i="5" s="1"/>
  <c r="H188" i="5" s="1"/>
  <c r="N188" i="5" s="1"/>
  <c r="I57" i="4"/>
  <c r="H57" i="4" s="1"/>
  <c r="I58" i="4" s="1"/>
  <c r="I117" i="4"/>
  <c r="H117" i="4" s="1"/>
  <c r="N117" i="4" s="1"/>
  <c r="I39" i="5"/>
  <c r="H39" i="5" s="1"/>
  <c r="N39" i="5" s="1"/>
  <c r="I30" i="5"/>
  <c r="H30" i="5" s="1"/>
  <c r="N30" i="5" s="1"/>
  <c r="I9" i="2"/>
  <c r="H9" i="2" s="1"/>
  <c r="N9" i="2" s="1"/>
  <c r="N62" i="5"/>
  <c r="I62" i="5"/>
  <c r="H62" i="5" s="1"/>
  <c r="I41" i="6"/>
  <c r="H41" i="6" s="1"/>
  <c r="O41" i="6" s="1"/>
  <c r="I195" i="6"/>
  <c r="H195" i="6" s="1"/>
  <c r="O195" i="6" s="1"/>
  <c r="I225" i="4"/>
  <c r="H225" i="4" s="1"/>
  <c r="N225" i="4" s="1"/>
  <c r="I201" i="4"/>
  <c r="H201" i="4" s="1"/>
  <c r="N201" i="4" s="1"/>
  <c r="N62" i="1"/>
  <c r="O62" i="1"/>
  <c r="I62" i="1"/>
  <c r="H62" i="1" s="1"/>
  <c r="I162" i="5"/>
  <c r="H162" i="5" s="1"/>
  <c r="N162" i="5" s="1"/>
  <c r="I112" i="5"/>
  <c r="H112" i="5" s="1"/>
  <c r="O112" i="5" s="1"/>
  <c r="I201" i="6"/>
  <c r="H201" i="6" s="1"/>
  <c r="O201" i="6" s="1"/>
  <c r="I57" i="1"/>
  <c r="H57" i="1" s="1"/>
  <c r="O57" i="1"/>
  <c r="N57" i="1"/>
  <c r="I17" i="4"/>
  <c r="H17" i="4" s="1"/>
  <c r="N17" i="4" s="1"/>
  <c r="I201" i="5"/>
  <c r="H201" i="5" s="1"/>
  <c r="N201" i="5" s="1"/>
  <c r="O69" i="1"/>
  <c r="I69" i="1"/>
  <c r="H69" i="1" s="1"/>
  <c r="N69" i="1"/>
  <c r="I196" i="4"/>
  <c r="H196" i="4" s="1"/>
  <c r="N196" i="4" s="1"/>
  <c r="I193" i="5"/>
  <c r="H193" i="5" s="1"/>
  <c r="O193" i="5" s="1"/>
  <c r="I206" i="4"/>
  <c r="H206" i="4" s="1"/>
  <c r="O206" i="4" s="1"/>
  <c r="I174" i="4"/>
  <c r="H174" i="4" s="1"/>
  <c r="O174" i="4" s="1"/>
  <c r="I188" i="4"/>
  <c r="H188" i="4" s="1"/>
  <c r="N188" i="4" s="1"/>
  <c r="N18" i="2"/>
  <c r="I18" i="2"/>
  <c r="H18" i="2" s="1"/>
  <c r="I40" i="6"/>
  <c r="H40" i="6" s="1"/>
  <c r="O40" i="6" s="1"/>
  <c r="I105" i="4"/>
  <c r="H105" i="4" s="1"/>
  <c r="N105" i="4" s="1"/>
  <c r="I121" i="5"/>
  <c r="H121" i="5" s="1"/>
  <c r="N121" i="5" s="1"/>
  <c r="I45" i="5"/>
  <c r="H45" i="5" s="1"/>
  <c r="N45" i="5"/>
  <c r="I4" i="2"/>
  <c r="H4" i="2" s="1"/>
  <c r="N4" i="2" s="1"/>
  <c r="N72" i="4"/>
  <c r="I72" i="4"/>
  <c r="H72" i="4" s="1"/>
  <c r="I177" i="5"/>
  <c r="H177" i="5" s="1"/>
  <c r="N177" i="5" s="1"/>
  <c r="I214" i="6"/>
  <c r="H214" i="6" s="1"/>
  <c r="O214" i="6" s="1"/>
  <c r="I21" i="3"/>
  <c r="H21" i="3" s="1"/>
  <c r="N21" i="3"/>
  <c r="I152" i="4"/>
  <c r="H152" i="4" s="1"/>
  <c r="O152" i="4" s="1"/>
  <c r="I219" i="5"/>
  <c r="H219" i="5" s="1"/>
  <c r="N219" i="5"/>
  <c r="I205" i="6"/>
  <c r="H205" i="6" s="1"/>
  <c r="O205" i="6" s="1"/>
  <c r="I228" i="4"/>
  <c r="H228" i="4" s="1"/>
  <c r="N228" i="4"/>
  <c r="I27" i="5"/>
  <c r="H27" i="5" s="1"/>
  <c r="O27" i="5" s="1"/>
  <c r="I58" i="5"/>
  <c r="H58" i="5" s="1"/>
  <c r="N58" i="5" s="1"/>
  <c r="I24" i="3"/>
  <c r="H24" i="3" s="1"/>
  <c r="N24" i="3"/>
  <c r="I29" i="1"/>
  <c r="H29" i="1" s="1"/>
  <c r="N29" i="1" s="1"/>
  <c r="I44" i="5"/>
  <c r="H44" i="5" s="1"/>
  <c r="N44" i="5"/>
  <c r="I4" i="3"/>
  <c r="H4" i="3" s="1"/>
  <c r="N4" i="3"/>
  <c r="I250" i="6"/>
  <c r="H250" i="6" s="1"/>
  <c r="N250" i="6" s="1"/>
  <c r="I80" i="1"/>
  <c r="H80" i="1" s="1"/>
  <c r="N80" i="1"/>
  <c r="O80" i="1"/>
  <c r="I33" i="2"/>
  <c r="H33" i="2" s="1"/>
  <c r="N33" i="2" s="1"/>
  <c r="N114" i="4"/>
  <c r="I114" i="4"/>
  <c r="H114" i="4" s="1"/>
  <c r="I231" i="6"/>
  <c r="H231" i="6" s="1"/>
  <c r="O231" i="6" s="1"/>
  <c r="I69" i="5"/>
  <c r="H69" i="5" s="1"/>
  <c r="N69" i="5" s="1"/>
  <c r="I17" i="5"/>
  <c r="H17" i="5" s="1"/>
  <c r="N17" i="5" s="1"/>
  <c r="I72" i="5"/>
  <c r="H72" i="5" s="1"/>
  <c r="N72" i="5" s="1"/>
  <c r="N22" i="5"/>
  <c r="I22" i="5"/>
  <c r="H22" i="5" s="1"/>
  <c r="I52" i="5"/>
  <c r="H52" i="5" s="1"/>
  <c r="N52" i="5"/>
  <c r="I200" i="5"/>
  <c r="H200" i="5" s="1"/>
  <c r="N200" i="5" s="1"/>
  <c r="I53" i="6"/>
  <c r="H53" i="6" s="1"/>
  <c r="O53" i="6" s="1"/>
  <c r="I12" i="5"/>
  <c r="H12" i="5" s="1"/>
  <c r="N12" i="5"/>
  <c r="I76" i="5"/>
  <c r="H76" i="5" s="1"/>
  <c r="N76" i="5" s="1"/>
  <c r="I205" i="5"/>
  <c r="H205" i="5" s="1"/>
  <c r="N205" i="5" s="1"/>
  <c r="I8" i="4"/>
  <c r="H8" i="4" s="1"/>
  <c r="N8" i="4" s="1"/>
  <c r="I3" i="3"/>
  <c r="H3" i="3" s="1"/>
  <c r="N3" i="3"/>
  <c r="O63" i="1"/>
  <c r="N63" i="1"/>
  <c r="I63" i="1"/>
  <c r="H63" i="1" s="1"/>
  <c r="I61" i="5"/>
  <c r="H61" i="5" s="1"/>
  <c r="N61" i="5" s="1"/>
  <c r="I136" i="5"/>
  <c r="H136" i="5" s="1"/>
  <c r="N136" i="5" s="1"/>
  <c r="I117" i="5"/>
  <c r="H117" i="5" s="1"/>
  <c r="N117" i="5" s="1"/>
  <c r="I36" i="6"/>
  <c r="H36" i="6" s="1"/>
  <c r="N36" i="6" s="1"/>
  <c r="I29" i="6"/>
  <c r="H29" i="6" s="1"/>
  <c r="N29" i="6" s="1"/>
  <c r="I226" i="4"/>
  <c r="H226" i="4" s="1"/>
  <c r="N226" i="4" s="1"/>
  <c r="N26" i="3"/>
  <c r="I26" i="3"/>
  <c r="H26" i="3" s="1"/>
  <c r="I109" i="5"/>
  <c r="H109" i="5" s="1"/>
  <c r="N109" i="5" s="1"/>
  <c r="N9" i="3"/>
  <c r="I9" i="3"/>
  <c r="H9" i="3" s="1"/>
  <c r="I23" i="4"/>
  <c r="H23" i="4" s="1"/>
  <c r="N23" i="4" s="1"/>
  <c r="I100" i="5"/>
  <c r="H100" i="5" s="1"/>
  <c r="N100" i="5"/>
  <c r="I48" i="6"/>
  <c r="H48" i="6" s="1"/>
  <c r="O48" i="6" s="1"/>
  <c r="I41" i="5"/>
  <c r="H41" i="5" s="1"/>
  <c r="N41" i="5"/>
  <c r="I223" i="4"/>
  <c r="H223" i="4" s="1"/>
  <c r="N223" i="4" s="1"/>
  <c r="I25" i="5"/>
  <c r="H25" i="5" s="1"/>
  <c r="N25" i="5" s="1"/>
  <c r="I14" i="5"/>
  <c r="H14" i="5" s="1"/>
  <c r="N14" i="5" s="1"/>
  <c r="I35" i="4"/>
  <c r="H35" i="4" s="1"/>
  <c r="O35" i="4" s="1"/>
  <c r="I10" i="2"/>
  <c r="H10" i="2" s="1"/>
  <c r="N10" i="2" s="1"/>
  <c r="I93" i="5"/>
  <c r="H93" i="5" s="1"/>
  <c r="N11" i="2"/>
  <c r="I11" i="2"/>
  <c r="H11" i="2" s="1"/>
  <c r="I54" i="5"/>
  <c r="H54" i="5" s="1"/>
  <c r="N54" i="5" s="1"/>
  <c r="N73" i="1"/>
  <c r="O73" i="1"/>
  <c r="I73" i="1"/>
  <c r="H73" i="1" s="1"/>
  <c r="I203" i="4"/>
  <c r="H203" i="4" s="1"/>
  <c r="N203" i="4" s="1"/>
  <c r="I29" i="4"/>
  <c r="H29" i="4" s="1"/>
  <c r="I30" i="4" s="1"/>
  <c r="I15" i="4"/>
  <c r="H15" i="4" s="1"/>
  <c r="I16" i="4" s="1"/>
  <c r="H16" i="4" s="1"/>
  <c r="O16" i="4" s="1"/>
  <c r="N55" i="1"/>
  <c r="O55" i="1"/>
  <c r="I55" i="1"/>
  <c r="H55" i="1" s="1"/>
  <c r="I41" i="1"/>
  <c r="H41" i="1" s="1"/>
  <c r="O41" i="1" s="1"/>
  <c r="I158" i="5"/>
  <c r="H158" i="5" s="1"/>
  <c r="O158" i="5" s="1"/>
  <c r="I187" i="4"/>
  <c r="H187" i="4" s="1"/>
  <c r="N187" i="4" s="1"/>
  <c r="I191" i="5"/>
  <c r="H191" i="5" s="1"/>
  <c r="N191" i="5" s="1"/>
  <c r="I120" i="5"/>
  <c r="H120" i="5" s="1"/>
  <c r="N120" i="5"/>
  <c r="I30" i="1"/>
  <c r="H30" i="1" s="1"/>
  <c r="N30" i="1" s="1"/>
  <c r="I74" i="4"/>
  <c r="H74" i="4" s="1"/>
  <c r="N74" i="4" s="1"/>
  <c r="I73" i="5"/>
  <c r="H73" i="5" s="1"/>
  <c r="N73" i="5" s="1"/>
  <c r="I211" i="5"/>
  <c r="H211" i="5" s="1"/>
  <c r="N211" i="5" s="1"/>
  <c r="I33" i="1"/>
  <c r="H33" i="1" s="1"/>
  <c r="N33" i="1" s="1"/>
  <c r="I3" i="2"/>
  <c r="H3" i="2" s="1"/>
  <c r="O3" i="2" s="1"/>
  <c r="I232" i="6"/>
  <c r="H232" i="6" s="1"/>
  <c r="O232" i="6" s="1"/>
  <c r="I198" i="5"/>
  <c r="H198" i="5" s="1"/>
  <c r="I199" i="5" s="1"/>
  <c r="H199" i="5" s="1"/>
  <c r="N199" i="5" s="1"/>
  <c r="I23" i="5"/>
  <c r="H23" i="5" s="1"/>
  <c r="N23" i="5" s="1"/>
  <c r="I227" i="4"/>
  <c r="H227" i="4" s="1"/>
  <c r="O227" i="4" s="1"/>
  <c r="I27" i="1"/>
  <c r="H27" i="1" s="1"/>
  <c r="O27" i="1" s="1"/>
  <c r="I77" i="4"/>
  <c r="H77" i="4" s="1"/>
  <c r="N77" i="4" s="1"/>
  <c r="I40" i="1"/>
  <c r="H40" i="1" s="1"/>
  <c r="O40" i="1" s="1"/>
  <c r="N18" i="5"/>
  <c r="I18" i="5"/>
  <c r="H18" i="5" s="1"/>
  <c r="I77" i="5"/>
  <c r="H77" i="5" s="1"/>
  <c r="O77" i="5" s="1"/>
  <c r="O71" i="1"/>
  <c r="I71" i="1"/>
  <c r="H71" i="1" s="1"/>
  <c r="N71" i="1"/>
  <c r="I96" i="5"/>
  <c r="H96" i="5" s="1"/>
  <c r="I2" i="4"/>
  <c r="H2" i="4" s="1"/>
  <c r="N2" i="4"/>
  <c r="I23" i="3"/>
  <c r="H23" i="3" s="1"/>
  <c r="N23" i="3"/>
  <c r="I104" i="4"/>
  <c r="H104" i="4" s="1"/>
  <c r="N104" i="4" s="1"/>
  <c r="I67" i="5"/>
  <c r="H67" i="5" s="1"/>
  <c r="N67" i="5" s="1"/>
  <c r="I229" i="4"/>
  <c r="H229" i="4" s="1"/>
  <c r="N229" i="4" s="1"/>
  <c r="I95" i="4"/>
  <c r="H95" i="4" s="1"/>
  <c r="I97" i="4" s="1"/>
  <c r="H97" i="4" s="1"/>
  <c r="N97" i="4" s="1"/>
  <c r="I33" i="4"/>
  <c r="H33" i="4" s="1"/>
  <c r="N33" i="4" s="1"/>
  <c r="O75" i="1"/>
  <c r="N75" i="1"/>
  <c r="I75" i="1"/>
  <c r="H75" i="1" s="1"/>
  <c r="I60" i="5"/>
  <c r="H60" i="5" s="1"/>
  <c r="N60" i="5" s="1"/>
  <c r="I194" i="4"/>
  <c r="H194" i="4" s="1"/>
  <c r="N194" i="4" s="1"/>
  <c r="I214" i="4"/>
  <c r="H214" i="4" s="1"/>
  <c r="N214" i="4" s="1"/>
  <c r="I216" i="4"/>
  <c r="H216" i="4" s="1"/>
  <c r="N216" i="4" s="1"/>
  <c r="I4" i="4"/>
  <c r="H4" i="4" s="1"/>
  <c r="N4" i="4" s="1"/>
  <c r="I246" i="6"/>
  <c r="H246" i="6" s="1"/>
  <c r="N246" i="6"/>
  <c r="I165" i="4"/>
  <c r="H165" i="4" s="1"/>
  <c r="N165" i="4" s="1"/>
  <c r="N12" i="3"/>
  <c r="I12" i="3"/>
  <c r="H12" i="3" s="1"/>
  <c r="I120" i="6"/>
  <c r="H120" i="6" s="1"/>
  <c r="I121" i="6" s="1"/>
  <c r="H121" i="6" s="1"/>
  <c r="O121" i="6" s="1"/>
  <c r="I166" i="5"/>
  <c r="H166" i="5" s="1"/>
  <c r="N166" i="5" s="1"/>
  <c r="I94" i="5"/>
  <c r="H94" i="5" s="1"/>
  <c r="I43" i="5"/>
  <c r="H43" i="5" s="1"/>
  <c r="N43" i="5"/>
  <c r="I213" i="5"/>
  <c r="H213" i="5" s="1"/>
  <c r="I214" i="5" s="1"/>
  <c r="H214" i="5" s="1"/>
  <c r="N214" i="5" s="1"/>
  <c r="I15" i="5"/>
  <c r="H15" i="5" s="1"/>
  <c r="N15" i="5" s="1"/>
  <c r="I123" i="6"/>
  <c r="H123" i="6" s="1"/>
  <c r="O123" i="6" s="1"/>
  <c r="I70" i="5"/>
  <c r="H70" i="5" s="1"/>
  <c r="N70" i="5" s="1"/>
  <c r="I71" i="5"/>
  <c r="H71" i="5" s="1"/>
  <c r="N71" i="5" s="1"/>
  <c r="I194" i="5"/>
  <c r="H194" i="5" s="1"/>
  <c r="N194" i="5" s="1"/>
  <c r="I3" i="6"/>
  <c r="H3" i="6" s="1"/>
  <c r="O3" i="6" s="1"/>
  <c r="I181" i="6"/>
  <c r="H181" i="6" s="1"/>
  <c r="N181" i="6"/>
  <c r="N14" i="3"/>
  <c r="I14" i="3"/>
  <c r="H14" i="3" s="1"/>
  <c r="I14" i="6"/>
  <c r="H14" i="6" s="1"/>
  <c r="O14" i="6" s="1"/>
  <c r="I154" i="5"/>
  <c r="H154" i="5" s="1"/>
  <c r="O154" i="5" s="1"/>
  <c r="I216" i="5"/>
  <c r="H216" i="5" s="1"/>
  <c r="I217" i="5" s="1"/>
  <c r="H217" i="5" s="1"/>
  <c r="N217" i="5" s="1"/>
  <c r="I389" i="6"/>
  <c r="H389" i="6" s="1"/>
  <c r="O389" i="6" s="1"/>
  <c r="I189" i="5"/>
  <c r="H189" i="5" s="1"/>
  <c r="N189" i="5" s="1"/>
  <c r="I37" i="6"/>
  <c r="H37" i="6" s="1"/>
  <c r="O37" i="6" s="1"/>
  <c r="I29" i="5"/>
  <c r="H29" i="5" s="1"/>
  <c r="N29" i="5"/>
  <c r="I35" i="6"/>
  <c r="H35" i="6" s="1"/>
  <c r="O35" i="6" s="1"/>
  <c r="I218" i="5"/>
  <c r="H218" i="5" s="1"/>
  <c r="N218" i="5" s="1"/>
  <c r="I42" i="1"/>
  <c r="H42" i="1" s="1"/>
  <c r="N42" i="1" s="1"/>
  <c r="I232" i="4"/>
  <c r="H232" i="4" s="1"/>
  <c r="O232" i="4" s="1"/>
  <c r="I220" i="4"/>
  <c r="H220" i="4" s="1"/>
  <c r="N220" i="4" s="1"/>
  <c r="I155" i="4"/>
  <c r="H155" i="4" s="1"/>
  <c r="O155" i="4" s="1"/>
  <c r="I28" i="2"/>
  <c r="H28" i="2" s="1"/>
  <c r="N28" i="2" s="1"/>
  <c r="I197" i="5"/>
  <c r="H197" i="5" s="1"/>
  <c r="O197" i="5" s="1"/>
  <c r="N106" i="4"/>
  <c r="I106" i="4"/>
  <c r="H106" i="4" s="1"/>
  <c r="N16" i="2"/>
  <c r="I16" i="2"/>
  <c r="H16" i="2" s="1"/>
  <c r="I173" i="5"/>
  <c r="H173" i="5" s="1"/>
  <c r="I174" i="5" s="1"/>
  <c r="H174" i="5" s="1"/>
  <c r="N174" i="5" s="1"/>
  <c r="I162" i="4"/>
  <c r="H162" i="4" s="1"/>
  <c r="O162" i="4" s="1"/>
  <c r="I8" i="6"/>
  <c r="H8" i="6" s="1"/>
  <c r="N8" i="6"/>
  <c r="I30" i="6"/>
  <c r="H30" i="6" s="1"/>
  <c r="N30" i="6" s="1"/>
  <c r="I133" i="4"/>
  <c r="H133" i="4" s="1"/>
  <c r="I134" i="4" s="1"/>
  <c r="H134" i="4" s="1"/>
  <c r="N134" i="4" s="1"/>
  <c r="I206" i="6"/>
  <c r="H206" i="6" s="1"/>
  <c r="I207" i="6" s="1"/>
  <c r="H207" i="6" s="1"/>
  <c r="O207" i="6" s="1"/>
  <c r="I131" i="4"/>
  <c r="H131" i="4" s="1"/>
  <c r="N131" i="4" s="1"/>
  <c r="I116" i="4"/>
  <c r="H116" i="4" s="1"/>
  <c r="N116" i="4" s="1"/>
  <c r="I219" i="4"/>
  <c r="H219" i="4" s="1"/>
  <c r="N219" i="4" s="1"/>
  <c r="N53" i="1"/>
  <c r="I53" i="1"/>
  <c r="H53" i="1" s="1"/>
  <c r="O53" i="1"/>
  <c r="I112" i="6"/>
  <c r="H112" i="6" s="1"/>
  <c r="N112" i="6" s="1"/>
  <c r="N2" i="2"/>
  <c r="I2" i="2"/>
  <c r="H2" i="2" s="1"/>
  <c r="I180" i="5"/>
  <c r="H180" i="5" s="1"/>
  <c r="I181" i="5" s="1"/>
  <c r="H181" i="5" s="1"/>
  <c r="N181" i="5" s="1"/>
  <c r="I20" i="2"/>
  <c r="H20" i="2" s="1"/>
  <c r="N20" i="2"/>
  <c r="I70" i="1"/>
  <c r="H70" i="1" s="1"/>
  <c r="O70" i="1"/>
  <c r="N70" i="1"/>
  <c r="N15" i="3"/>
  <c r="I15" i="3"/>
  <c r="H15" i="3" s="1"/>
  <c r="I109" i="4"/>
  <c r="H109" i="4" s="1"/>
  <c r="O109" i="4" s="1"/>
  <c r="I47" i="1"/>
  <c r="H47" i="1" s="1"/>
  <c r="O47" i="1" s="1"/>
  <c r="N47" i="1"/>
  <c r="I45" i="6"/>
  <c r="H45" i="6" s="1"/>
  <c r="N45" i="6" s="1"/>
  <c r="I10" i="3"/>
  <c r="H10" i="3" s="1"/>
  <c r="N10" i="3"/>
  <c r="I7" i="2"/>
  <c r="H7" i="2" s="1"/>
  <c r="O7" i="2" s="1"/>
  <c r="I142" i="5"/>
  <c r="H142" i="5" s="1"/>
  <c r="N142" i="5" s="1"/>
  <c r="N77" i="6"/>
  <c r="I77" i="6"/>
  <c r="H77" i="6" s="1"/>
  <c r="I21" i="5"/>
  <c r="H21" i="5" s="1"/>
  <c r="N21" i="5" s="1"/>
  <c r="I21" i="6"/>
  <c r="H21" i="6" s="1"/>
  <c r="O21" i="6" s="1"/>
  <c r="I202" i="5"/>
  <c r="H202" i="5" s="1"/>
  <c r="N202" i="5" s="1"/>
  <c r="I33" i="6"/>
  <c r="H33" i="6" s="1"/>
  <c r="O33" i="6" s="1"/>
  <c r="I28" i="1"/>
  <c r="H28" i="1" s="1"/>
  <c r="N28" i="1" s="1"/>
  <c r="I108" i="4"/>
  <c r="H108" i="4" s="1"/>
  <c r="O108" i="4" s="1"/>
  <c r="I183" i="6"/>
  <c r="H183" i="6" s="1"/>
  <c r="N183" i="6" s="1"/>
  <c r="I56" i="1"/>
  <c r="H56" i="1" s="1"/>
  <c r="N56" i="1"/>
  <c r="O56" i="1"/>
  <c r="I249" i="6"/>
  <c r="H249" i="6" s="1"/>
  <c r="N249" i="6" s="1"/>
  <c r="O66" i="1"/>
  <c r="N66" i="1"/>
  <c r="I66" i="1"/>
  <c r="H66" i="1" s="1"/>
  <c r="I30" i="2"/>
  <c r="H30" i="2" s="1"/>
  <c r="N30" i="2" s="1"/>
  <c r="I106" i="5"/>
  <c r="H106" i="5" s="1"/>
  <c r="N106" i="5" s="1"/>
  <c r="N74" i="1"/>
  <c r="O74" i="1"/>
  <c r="I74" i="1"/>
  <c r="H74" i="1" s="1"/>
  <c r="I239" i="6"/>
  <c r="H239" i="6" s="1"/>
  <c r="O239" i="6" s="1"/>
  <c r="I204" i="5"/>
  <c r="H204" i="5" s="1"/>
  <c r="N204" i="5" s="1"/>
  <c r="I25" i="1"/>
  <c r="H25" i="1" s="1"/>
  <c r="O25" i="1" s="1"/>
  <c r="N50" i="5"/>
  <c r="I50" i="5"/>
  <c r="H50" i="5" s="1"/>
  <c r="I15" i="2"/>
  <c r="H15" i="2" s="1"/>
  <c r="N15" i="2"/>
  <c r="I118" i="4"/>
  <c r="H118" i="4" s="1"/>
  <c r="O118" i="4" s="1"/>
  <c r="I84" i="1"/>
  <c r="H84" i="1" s="1"/>
  <c r="O84" i="1" s="1"/>
  <c r="I78" i="5"/>
  <c r="H78" i="5" s="1"/>
  <c r="N78" i="5" s="1"/>
  <c r="I215" i="4"/>
  <c r="H215" i="4" s="1"/>
  <c r="N215" i="4" s="1"/>
  <c r="I34" i="1"/>
  <c r="H34" i="1" s="1"/>
  <c r="N34" i="1" s="1"/>
  <c r="I13" i="2"/>
  <c r="H13" i="2" s="1"/>
  <c r="N13" i="2"/>
  <c r="I206" i="5"/>
  <c r="H206" i="5" s="1"/>
  <c r="N206" i="5" s="1"/>
  <c r="I23" i="6"/>
  <c r="H23" i="6" s="1"/>
  <c r="O23" i="6" s="1"/>
  <c r="I125" i="5"/>
  <c r="H125" i="5" s="1"/>
  <c r="N125" i="5" s="1"/>
  <c r="I51" i="5"/>
  <c r="H51" i="5" s="1"/>
  <c r="N51" i="5"/>
  <c r="I13" i="3"/>
  <c r="H13" i="3" s="1"/>
  <c r="N13" i="3"/>
  <c r="I215" i="5"/>
  <c r="H215" i="5" s="1"/>
  <c r="N215" i="5" s="1"/>
  <c r="I31" i="1"/>
  <c r="H31" i="1" s="1"/>
  <c r="O31" i="1" s="1"/>
  <c r="I244" i="6"/>
  <c r="H244" i="6" s="1"/>
  <c r="O244" i="6" s="1"/>
  <c r="I65" i="5"/>
  <c r="H65" i="5" s="1"/>
  <c r="N65" i="5" s="1"/>
  <c r="I49" i="5"/>
  <c r="H49" i="5" s="1"/>
  <c r="N49" i="5"/>
  <c r="N103" i="5"/>
  <c r="I103" i="5"/>
  <c r="H103" i="5" s="1"/>
  <c r="I28" i="5"/>
  <c r="H28" i="5" s="1"/>
  <c r="N28" i="5" s="1"/>
  <c r="I66" i="5"/>
  <c r="H66" i="5" s="1"/>
  <c r="N66" i="5" s="1"/>
  <c r="I126" i="5"/>
  <c r="H126" i="5" s="1"/>
  <c r="N126" i="5" s="1"/>
  <c r="I88" i="4"/>
  <c r="H88" i="4" s="1"/>
  <c r="N88" i="4" s="1"/>
  <c r="I57" i="5"/>
  <c r="H57" i="5" s="1"/>
  <c r="N57" i="5" s="1"/>
  <c r="I33" i="5"/>
  <c r="H33" i="5" s="1"/>
  <c r="N33" i="5" s="1"/>
  <c r="I146" i="5"/>
  <c r="H146" i="5" s="1"/>
  <c r="N146" i="5" s="1"/>
  <c r="N8" i="2"/>
  <c r="I8" i="2"/>
  <c r="H8" i="2" s="1"/>
  <c r="N68" i="1"/>
  <c r="I68" i="1"/>
  <c r="H68" i="1" s="1"/>
  <c r="O68" i="1"/>
  <c r="I9" i="6"/>
  <c r="H9" i="6" s="1"/>
  <c r="I10" i="6" s="1"/>
  <c r="H10" i="6" s="1"/>
  <c r="O10" i="6" s="1"/>
  <c r="N110" i="6"/>
  <c r="I110" i="6"/>
  <c r="H110" i="6" s="1"/>
  <c r="I46" i="6"/>
  <c r="H46" i="6" s="1"/>
  <c r="N46" i="6"/>
  <c r="N7" i="6"/>
  <c r="I7" i="6"/>
  <c r="H7" i="6" s="1"/>
  <c r="I26" i="5"/>
  <c r="H26" i="5" s="1"/>
  <c r="N26" i="5" s="1"/>
  <c r="I6" i="2"/>
  <c r="H6" i="2" s="1"/>
  <c r="N6" i="2" s="1"/>
  <c r="I207" i="4"/>
  <c r="H207" i="4" s="1"/>
  <c r="N207" i="4" s="1"/>
  <c r="I32" i="2"/>
  <c r="H32" i="2" s="1"/>
  <c r="O32" i="2" s="1"/>
  <c r="I113" i="5"/>
  <c r="H113" i="5" s="1"/>
  <c r="N113" i="5" s="1"/>
  <c r="I3" i="4"/>
  <c r="H3" i="4" s="1"/>
  <c r="N3" i="4"/>
  <c r="I199" i="4"/>
  <c r="H199" i="4" s="1"/>
  <c r="N199" i="4" s="1"/>
  <c r="I111" i="4"/>
  <c r="H111" i="4" s="1"/>
  <c r="N111" i="4" s="1"/>
  <c r="I129" i="4"/>
  <c r="H129" i="4" s="1"/>
  <c r="N129" i="4" s="1"/>
  <c r="I50" i="4"/>
  <c r="H50" i="4" s="1"/>
  <c r="O50" i="4" s="1"/>
  <c r="N22" i="3"/>
  <c r="I22" i="3"/>
  <c r="H22" i="3" s="1"/>
  <c r="I37" i="1"/>
  <c r="H37" i="1" s="1"/>
  <c r="O37" i="1" s="1"/>
  <c r="I27" i="6"/>
  <c r="I186" i="6"/>
  <c r="H186" i="6" s="1"/>
  <c r="O186" i="6" s="1"/>
  <c r="I14" i="4"/>
  <c r="H14" i="4" s="1"/>
  <c r="N14" i="4"/>
  <c r="I210" i="4"/>
  <c r="H210" i="4" s="1"/>
  <c r="O210" i="4" s="1"/>
  <c r="I103" i="4"/>
  <c r="H103" i="4" s="1"/>
  <c r="N103" i="4" s="1"/>
  <c r="N186" i="4"/>
  <c r="I186" i="4"/>
  <c r="H186" i="4" s="1"/>
  <c r="I184" i="6"/>
  <c r="H184" i="6" s="1"/>
  <c r="O184" i="6" s="1"/>
  <c r="N2" i="6"/>
  <c r="I2" i="6"/>
  <c r="H2" i="6" s="1"/>
  <c r="I12" i="2"/>
  <c r="H12" i="2" s="1"/>
  <c r="N12" i="2"/>
  <c r="N7" i="4"/>
  <c r="I7" i="4"/>
  <c r="H7" i="4" s="1"/>
  <c r="I221" i="5"/>
  <c r="H221" i="5" s="1"/>
  <c r="N221" i="5" s="1"/>
  <c r="I64" i="5"/>
  <c r="H64" i="5" s="1"/>
  <c r="N64" i="5" s="1"/>
  <c r="N194" i="6"/>
  <c r="I194" i="6"/>
  <c r="H194" i="6" s="1"/>
  <c r="I17" i="3"/>
  <c r="H17" i="3" s="1"/>
  <c r="N17" i="3" s="1"/>
  <c r="I192" i="6"/>
  <c r="H192" i="6" s="1"/>
  <c r="O192" i="6" s="1"/>
  <c r="I36" i="5"/>
  <c r="H36" i="5" s="1"/>
  <c r="N36" i="5" s="1"/>
  <c r="N24" i="2"/>
  <c r="I24" i="2"/>
  <c r="H24" i="2" s="1"/>
  <c r="I28" i="6"/>
  <c r="H28" i="6" s="1"/>
  <c r="N28" i="6" s="1"/>
  <c r="I101" i="5"/>
  <c r="H101" i="5" s="1"/>
  <c r="N101" i="5" s="1"/>
  <c r="I26" i="1"/>
  <c r="H26" i="1" s="1"/>
  <c r="O26" i="1" s="1"/>
  <c r="I209" i="5"/>
  <c r="H209" i="5" s="1"/>
  <c r="N209" i="5" s="1"/>
  <c r="N67" i="1"/>
  <c r="I67" i="1"/>
  <c r="H67" i="1" s="1"/>
  <c r="O67" i="1"/>
  <c r="I202" i="4"/>
  <c r="H202" i="4" s="1"/>
  <c r="O202" i="4" s="1"/>
  <c r="I72" i="1"/>
  <c r="H72" i="1" s="1"/>
  <c r="N72" i="1"/>
  <c r="O72" i="1"/>
  <c r="I4" i="6"/>
  <c r="H4" i="6" s="1"/>
  <c r="N4" i="6" s="1"/>
  <c r="I110" i="5"/>
  <c r="H110" i="5" s="1"/>
  <c r="N110" i="5" s="1"/>
  <c r="I198" i="4"/>
  <c r="H198" i="4" s="1"/>
  <c r="N198" i="4"/>
  <c r="I193" i="4"/>
  <c r="H193" i="4" s="1"/>
  <c r="N193" i="4"/>
  <c r="I171" i="4"/>
  <c r="H171" i="4" s="1"/>
  <c r="O171" i="4" s="1"/>
  <c r="I35" i="5"/>
  <c r="H35" i="5" s="1"/>
  <c r="N35" i="5"/>
  <c r="I110" i="4"/>
  <c r="H110" i="4" s="1"/>
  <c r="N110" i="4" s="1"/>
  <c r="I102" i="4"/>
  <c r="H102" i="4" s="1"/>
  <c r="N102" i="4"/>
  <c r="I75" i="5"/>
  <c r="H75" i="5" s="1"/>
  <c r="N75" i="5" s="1"/>
  <c r="I58" i="1"/>
  <c r="H58" i="1" s="1"/>
  <c r="N58" i="1"/>
  <c r="O58" i="1"/>
  <c r="I388" i="6"/>
  <c r="H388" i="6" s="1"/>
  <c r="N388" i="6"/>
  <c r="I138" i="5"/>
  <c r="H138" i="5" s="1"/>
  <c r="O138" i="5" s="1"/>
  <c r="I175" i="5"/>
  <c r="H175" i="5" s="1"/>
  <c r="N175" i="5" s="1"/>
  <c r="N97" i="5"/>
  <c r="I97" i="5"/>
  <c r="H97" i="5" s="1"/>
  <c r="I38" i="1"/>
  <c r="H38" i="1" s="1"/>
  <c r="N38" i="1" s="1"/>
  <c r="I190" i="6"/>
  <c r="H190" i="6" s="1"/>
  <c r="O190" i="6" s="1"/>
  <c r="I13" i="5"/>
  <c r="H13" i="5" s="1"/>
  <c r="N13" i="5"/>
  <c r="I130" i="4"/>
  <c r="H130" i="4" s="1"/>
  <c r="O130" i="4" s="1"/>
  <c r="I195" i="4"/>
  <c r="H195" i="4" s="1"/>
  <c r="N195" i="4" s="1"/>
  <c r="I68" i="5"/>
  <c r="H68" i="5" s="1"/>
  <c r="N68" i="5"/>
  <c r="N119" i="6"/>
  <c r="I119" i="6"/>
  <c r="H119" i="6" s="1"/>
  <c r="I192" i="4"/>
  <c r="H192" i="4" s="1"/>
  <c r="N192" i="4"/>
  <c r="N81" i="1"/>
  <c r="O81" i="1"/>
  <c r="I81" i="1"/>
  <c r="H81" i="1" s="1"/>
  <c r="I153" i="4"/>
  <c r="H153" i="4" s="1"/>
  <c r="N153" i="4" s="1"/>
  <c r="I53" i="5"/>
  <c r="H53" i="5" s="1"/>
  <c r="O53" i="5" s="1"/>
  <c r="I180" i="4"/>
  <c r="H180" i="4" s="1"/>
  <c r="N180" i="4" s="1"/>
  <c r="N79" i="1"/>
  <c r="I79" i="1"/>
  <c r="H79" i="1" s="1"/>
  <c r="O79" i="1"/>
  <c r="I111" i="6"/>
  <c r="H111" i="6" s="1"/>
  <c r="N111" i="6" s="1"/>
  <c r="I114" i="5"/>
  <c r="H114" i="5" s="1"/>
  <c r="O114" i="5" s="1"/>
  <c r="I82" i="1"/>
  <c r="H82" i="1" s="1"/>
  <c r="O82" i="1" s="1"/>
  <c r="I191" i="4"/>
  <c r="H191" i="4" s="1"/>
  <c r="N191" i="4" s="1"/>
  <c r="I26" i="4"/>
  <c r="H26" i="4" s="1"/>
  <c r="O26" i="4" s="1"/>
  <c r="I212" i="4"/>
  <c r="H212" i="4" s="1"/>
  <c r="N212" i="4" s="1"/>
  <c r="I71" i="4"/>
  <c r="H71" i="4" s="1"/>
  <c r="N71" i="4"/>
  <c r="I148" i="4"/>
  <c r="H148" i="4" s="1"/>
  <c r="O148" i="4" s="1"/>
  <c r="I212" i="5"/>
  <c r="H212" i="5" s="1"/>
  <c r="O212" i="5" s="1"/>
  <c r="I115" i="5"/>
  <c r="H115" i="5" s="1"/>
  <c r="N115" i="5" s="1"/>
  <c r="N76" i="1"/>
  <c r="O76" i="1"/>
  <c r="I76" i="1"/>
  <c r="H76" i="1" s="1"/>
  <c r="I5" i="6"/>
  <c r="H5" i="6" s="1"/>
  <c r="O5" i="6" s="1"/>
  <c r="N11" i="3"/>
  <c r="I11" i="3"/>
  <c r="H11" i="3" s="1"/>
  <c r="I36" i="1"/>
  <c r="H36" i="1" s="1"/>
  <c r="O36" i="1" s="1"/>
  <c r="I205" i="4"/>
  <c r="H205" i="4" s="1"/>
  <c r="N205" i="4" s="1"/>
  <c r="I31" i="2"/>
  <c r="H31" i="2" s="1"/>
  <c r="O31" i="2" s="1"/>
  <c r="I38" i="6"/>
  <c r="H38" i="6" s="1"/>
  <c r="N38" i="6" s="1"/>
  <c r="I170" i="5"/>
  <c r="H170" i="5" s="1"/>
  <c r="N170" i="5" s="1"/>
  <c r="I122" i="4"/>
  <c r="H122" i="4" s="1"/>
  <c r="O122" i="4" s="1"/>
  <c r="I197" i="4"/>
  <c r="H197" i="4" s="1"/>
  <c r="N197" i="4" s="1"/>
  <c r="N128" i="4"/>
  <c r="I128" i="4"/>
  <c r="H128" i="4" s="1"/>
  <c r="I204" i="4"/>
  <c r="H204" i="4" s="1"/>
  <c r="N204" i="4" s="1"/>
  <c r="I159" i="4"/>
  <c r="H159" i="4" s="1"/>
  <c r="I160" i="4" s="1"/>
  <c r="H160" i="4" s="1"/>
  <c r="N160" i="4" s="1"/>
  <c r="I119" i="4"/>
  <c r="H119" i="4" s="1"/>
  <c r="N119" i="4" s="1"/>
  <c r="I17" i="6"/>
  <c r="H17" i="6" s="1"/>
  <c r="O17" i="6" s="1"/>
  <c r="N8" i="3"/>
  <c r="I8" i="3"/>
  <c r="H8" i="3" s="1"/>
  <c r="N25" i="3"/>
  <c r="I25" i="3"/>
  <c r="H25" i="3" s="1"/>
  <c r="O61" i="1"/>
  <c r="I61" i="1"/>
  <c r="H61" i="1" s="1"/>
  <c r="N61" i="1"/>
  <c r="I247" i="6"/>
  <c r="H247" i="6" s="1"/>
  <c r="N247" i="6" s="1"/>
  <c r="I19" i="5"/>
  <c r="H19" i="5" s="1"/>
  <c r="O19" i="5" s="1"/>
  <c r="O78" i="1"/>
  <c r="N78" i="1"/>
  <c r="I78" i="1"/>
  <c r="H78" i="1" s="1"/>
  <c r="I142" i="4"/>
  <c r="H142" i="4" s="1"/>
  <c r="O142" i="4" s="1"/>
  <c r="O60" i="1"/>
  <c r="N60" i="1"/>
  <c r="I60" i="1"/>
  <c r="H60" i="1" s="1"/>
  <c r="I168" i="4"/>
  <c r="H168" i="4" s="1"/>
  <c r="I169" i="4" s="1"/>
  <c r="H169" i="4" s="1"/>
  <c r="N169" i="4" s="1"/>
  <c r="I38" i="5"/>
  <c r="H38" i="5" s="1"/>
  <c r="N38" i="5"/>
  <c r="I24" i="1"/>
  <c r="H24" i="1" s="1"/>
  <c r="N24" i="1" s="1"/>
  <c r="I49" i="6"/>
  <c r="H49" i="6" s="1"/>
  <c r="O49" i="6" s="1"/>
  <c r="N22" i="2"/>
  <c r="I22" i="2"/>
  <c r="H22" i="2" s="1"/>
  <c r="I197" i="6"/>
  <c r="H197" i="6" s="1"/>
  <c r="O197" i="6" s="1"/>
  <c r="I65" i="1"/>
  <c r="H65" i="1" s="1"/>
  <c r="N65" i="1"/>
  <c r="O65" i="1"/>
  <c r="I46" i="5"/>
  <c r="H46" i="5" s="1"/>
  <c r="N46" i="5"/>
  <c r="I32" i="5"/>
  <c r="H32" i="5" s="1"/>
  <c r="N32" i="5"/>
  <c r="I5" i="3"/>
  <c r="H5" i="3" s="1"/>
  <c r="N5" i="3"/>
  <c r="I177" i="4"/>
  <c r="H177" i="4" s="1"/>
  <c r="N177" i="4" s="1"/>
  <c r="I182" i="6"/>
  <c r="H182" i="6" s="1"/>
  <c r="O182" i="6" s="1"/>
  <c r="I196" i="5"/>
  <c r="H196" i="5" s="1"/>
  <c r="N196" i="5" s="1"/>
  <c r="I47" i="6"/>
  <c r="H47" i="6" s="1"/>
  <c r="N47" i="6"/>
  <c r="N83" i="1"/>
  <c r="I83" i="1"/>
  <c r="H83" i="1" s="1"/>
  <c r="O83" i="1"/>
  <c r="I118" i="5"/>
  <c r="H118" i="5" s="1"/>
  <c r="O118" i="5" s="1"/>
  <c r="I230" i="6"/>
  <c r="H230" i="6" s="1"/>
  <c r="O230" i="6" s="1"/>
  <c r="I136" i="4"/>
  <c r="H136" i="4" s="1"/>
  <c r="O136" i="4" s="1"/>
  <c r="N16" i="5"/>
  <c r="I16" i="5"/>
  <c r="H16" i="5" s="1"/>
  <c r="I116" i="5"/>
  <c r="H116" i="5" s="1"/>
  <c r="N116" i="5" s="1"/>
  <c r="I213" i="4"/>
  <c r="H213" i="4" s="1"/>
  <c r="N213" i="4" s="1"/>
  <c r="I186" i="5"/>
  <c r="H186" i="5" s="1"/>
  <c r="N186" i="5" s="1"/>
  <c r="I108" i="5"/>
  <c r="H108" i="5" s="1"/>
  <c r="N108" i="5"/>
  <c r="I154" i="4"/>
  <c r="H154" i="4" s="1"/>
  <c r="O154" i="4" s="1"/>
  <c r="I19" i="6"/>
  <c r="H19" i="6" s="1"/>
  <c r="O19" i="6" s="1"/>
  <c r="I203" i="6"/>
  <c r="H203" i="6" s="1"/>
  <c r="O203" i="6" s="1"/>
  <c r="I222" i="4"/>
  <c r="H222" i="4" s="1"/>
  <c r="O222" i="4" s="1"/>
  <c r="I31" i="6"/>
  <c r="H31" i="6" s="1"/>
  <c r="O31" i="6" s="1"/>
  <c r="I122" i="5"/>
  <c r="H122" i="5" s="1"/>
  <c r="O122" i="5" s="1"/>
  <c r="I16" i="3"/>
  <c r="H16" i="3" s="1"/>
  <c r="N16" i="3"/>
  <c r="I145" i="4"/>
  <c r="H145" i="4" s="1"/>
  <c r="N145" i="4" s="1"/>
  <c r="O34" i="6" l="1"/>
  <c r="O4" i="6"/>
  <c r="O79" i="6"/>
  <c r="O112" i="6"/>
  <c r="O6" i="6"/>
  <c r="O38" i="6"/>
  <c r="O32" i="6"/>
  <c r="O45" i="6"/>
  <c r="O233" i="6"/>
  <c r="O183" i="6"/>
  <c r="O29" i="6"/>
  <c r="O28" i="6"/>
  <c r="O9" i="6"/>
  <c r="O111" i="6"/>
  <c r="O78" i="6"/>
  <c r="O249" i="6"/>
  <c r="O30" i="6"/>
  <c r="O250" i="6"/>
  <c r="O36" i="6"/>
  <c r="O120" i="6"/>
  <c r="O199" i="6"/>
  <c r="O247" i="6"/>
  <c r="O206" i="6"/>
  <c r="O214" i="5"/>
  <c r="O136" i="5"/>
  <c r="O113" i="5"/>
  <c r="O178" i="5"/>
  <c r="O207" i="5"/>
  <c r="O173" i="5"/>
  <c r="O188" i="5"/>
  <c r="O216" i="5"/>
  <c r="O55" i="5"/>
  <c r="O198" i="5"/>
  <c r="O176" i="5"/>
  <c r="O201" i="5"/>
  <c r="O190" i="5"/>
  <c r="O66" i="5"/>
  <c r="O58" i="5"/>
  <c r="O115" i="5"/>
  <c r="O181" i="5"/>
  <c r="O65" i="5"/>
  <c r="O110" i="5"/>
  <c r="O101" i="5"/>
  <c r="O111" i="5"/>
  <c r="O205" i="5"/>
  <c r="O199" i="5"/>
  <c r="O25" i="5"/>
  <c r="O39" i="5"/>
  <c r="O174" i="5"/>
  <c r="O109" i="5"/>
  <c r="O204" i="5"/>
  <c r="O23" i="5"/>
  <c r="O146" i="5"/>
  <c r="O78" i="5"/>
  <c r="O30" i="5"/>
  <c r="O33" i="5"/>
  <c r="O213" i="5"/>
  <c r="O59" i="5"/>
  <c r="O117" i="5"/>
  <c r="O74" i="5"/>
  <c r="O56" i="5"/>
  <c r="O177" i="5"/>
  <c r="O28" i="5"/>
  <c r="O71" i="5"/>
  <c r="O15" i="5"/>
  <c r="O119" i="5"/>
  <c r="O186" i="5"/>
  <c r="O63" i="5"/>
  <c r="O162" i="5"/>
  <c r="O116" i="5"/>
  <c r="O36" i="5"/>
  <c r="O209" i="5"/>
  <c r="O189" i="5"/>
  <c r="O69" i="5"/>
  <c r="O221" i="5"/>
  <c r="O57" i="5"/>
  <c r="O60" i="5"/>
  <c r="O64" i="5"/>
  <c r="O170" i="5"/>
  <c r="O215" i="5"/>
  <c r="O73" i="5"/>
  <c r="O218" i="5"/>
  <c r="O180" i="5"/>
  <c r="O61" i="5"/>
  <c r="O54" i="5"/>
  <c r="O106" i="5"/>
  <c r="O21" i="5"/>
  <c r="O194" i="5"/>
  <c r="O187" i="5"/>
  <c r="O196" i="5"/>
  <c r="O206" i="5"/>
  <c r="O14" i="5"/>
  <c r="O142" i="5"/>
  <c r="O175" i="5"/>
  <c r="O67" i="5"/>
  <c r="O220" i="5"/>
  <c r="O72" i="5"/>
  <c r="O75" i="5"/>
  <c r="O76" i="5"/>
  <c r="O17" i="5"/>
  <c r="O126" i="5"/>
  <c r="O79" i="5"/>
  <c r="O202" i="5"/>
  <c r="O191" i="5"/>
  <c r="O166" i="5"/>
  <c r="O123" i="5"/>
  <c r="O70" i="5"/>
  <c r="O125" i="5"/>
  <c r="O150" i="5"/>
  <c r="O217" i="5"/>
  <c r="O26" i="5"/>
  <c r="O151" i="5"/>
  <c r="O211" i="5"/>
  <c r="O200" i="5"/>
  <c r="O121" i="5"/>
  <c r="O17" i="3"/>
  <c r="O225" i="4"/>
  <c r="O156" i="4"/>
  <c r="O231" i="4"/>
  <c r="O119" i="4"/>
  <c r="O205" i="4"/>
  <c r="O180" i="4"/>
  <c r="O131" i="4"/>
  <c r="O74" i="4"/>
  <c r="O214" i="4"/>
  <c r="O111" i="4"/>
  <c r="O34" i="4"/>
  <c r="O110" i="4"/>
  <c r="O194" i="4"/>
  <c r="O212" i="4"/>
  <c r="O215" i="4"/>
  <c r="O168" i="4"/>
  <c r="O177" i="4"/>
  <c r="O116" i="4"/>
  <c r="O188" i="4"/>
  <c r="O169" i="4"/>
  <c r="O145" i="4"/>
  <c r="O196" i="4"/>
  <c r="O165" i="4"/>
  <c r="O216" i="4"/>
  <c r="O219" i="4"/>
  <c r="O104" i="4"/>
  <c r="O107" i="4"/>
  <c r="O223" i="4"/>
  <c r="O97" i="4"/>
  <c r="O88" i="4"/>
  <c r="O160" i="4"/>
  <c r="O221" i="4"/>
  <c r="O103" i="4"/>
  <c r="O117" i="4"/>
  <c r="O187" i="4"/>
  <c r="O201" i="4"/>
  <c r="O229" i="4"/>
  <c r="O153" i="4"/>
  <c r="O197" i="4"/>
  <c r="O183" i="4"/>
  <c r="O33" i="4"/>
  <c r="O220" i="4"/>
  <c r="O226" i="4"/>
  <c r="O204" i="4"/>
  <c r="O95" i="4"/>
  <c r="O132" i="4"/>
  <c r="O133" i="4"/>
  <c r="O78" i="4"/>
  <c r="O203" i="4"/>
  <c r="O199" i="4"/>
  <c r="O125" i="4"/>
  <c r="O191" i="4"/>
  <c r="O213" i="4"/>
  <c r="O224" i="4"/>
  <c r="O20" i="4"/>
  <c r="O195" i="4"/>
  <c r="O159" i="4"/>
  <c r="O15" i="4"/>
  <c r="O86" i="4"/>
  <c r="O207" i="4"/>
  <c r="O134" i="4"/>
  <c r="O209" i="4"/>
  <c r="O126" i="4"/>
  <c r="O4" i="4"/>
  <c r="O140" i="4"/>
  <c r="O57" i="4"/>
  <c r="O17" i="4"/>
  <c r="O8" i="4"/>
  <c r="O77" i="4"/>
  <c r="O157" i="4"/>
  <c r="O208" i="4"/>
  <c r="O115" i="4"/>
  <c r="O184" i="4"/>
  <c r="O43" i="4"/>
  <c r="O64" i="4"/>
  <c r="O139" i="4"/>
  <c r="O105" i="4"/>
  <c r="O129" i="4"/>
  <c r="O23" i="4"/>
  <c r="O29" i="4"/>
  <c r="O33" i="2"/>
  <c r="O4" i="2"/>
  <c r="O6" i="2"/>
  <c r="O10" i="2"/>
  <c r="O30" i="2"/>
  <c r="O9" i="2"/>
  <c r="O28" i="2"/>
  <c r="O30" i="1"/>
  <c r="O34" i="1"/>
  <c r="O32" i="1"/>
  <c r="O28" i="1"/>
  <c r="O42" i="1"/>
  <c r="O38" i="1"/>
  <c r="O35" i="1"/>
  <c r="O29" i="1"/>
  <c r="O39" i="1"/>
  <c r="O33" i="1"/>
  <c r="O24" i="1"/>
  <c r="I79" i="4"/>
  <c r="H79" i="4" s="1"/>
  <c r="O79" i="4" s="1"/>
  <c r="I96" i="4"/>
  <c r="H96" i="4" s="1"/>
  <c r="O96" i="4" s="1"/>
  <c r="I89" i="4"/>
  <c r="H89" i="4" s="1"/>
  <c r="O89" i="4" s="1"/>
  <c r="I26" i="2"/>
  <c r="H26" i="2" s="1"/>
  <c r="H30" i="4"/>
  <c r="O30" i="4" s="1"/>
  <c r="I31" i="4"/>
  <c r="I189" i="6"/>
  <c r="H189" i="6" s="1"/>
  <c r="I200" i="6"/>
  <c r="H200" i="6" s="1"/>
  <c r="O200" i="6" s="1"/>
  <c r="I19" i="3"/>
  <c r="I20" i="3" s="1"/>
  <c r="H20" i="3" s="1"/>
  <c r="O20" i="3" s="1"/>
  <c r="I22" i="4"/>
  <c r="H22" i="4" s="1"/>
  <c r="O22" i="4" s="1"/>
  <c r="N37" i="1"/>
  <c r="N27" i="1"/>
  <c r="N26" i="1"/>
  <c r="N31" i="1"/>
  <c r="N36" i="1"/>
  <c r="N41" i="1"/>
  <c r="N40" i="1"/>
  <c r="N25" i="1"/>
  <c r="I52" i="6"/>
  <c r="H52" i="6" s="1"/>
  <c r="O52" i="6" s="1"/>
  <c r="I87" i="4"/>
  <c r="H87" i="4" s="1"/>
  <c r="O87" i="4" s="1"/>
  <c r="I42" i="6"/>
  <c r="H42" i="6" s="1"/>
  <c r="O42" i="6" s="1"/>
  <c r="I158" i="4"/>
  <c r="H158" i="4" s="1"/>
  <c r="O158" i="4" s="1"/>
  <c r="I90" i="4"/>
  <c r="H90" i="4" s="1"/>
  <c r="O90" i="4" s="1"/>
  <c r="I245" i="6"/>
  <c r="H245" i="6" s="1"/>
  <c r="I175" i="4"/>
  <c r="H175" i="4" s="1"/>
  <c r="O175" i="4" s="1"/>
  <c r="I215" i="6"/>
  <c r="H215" i="6" s="1"/>
  <c r="O215" i="6" s="1"/>
  <c r="I185" i="4"/>
  <c r="H185" i="4" s="1"/>
  <c r="O185" i="4" s="1"/>
  <c r="I223" i="6"/>
  <c r="I224" i="6" s="1"/>
  <c r="I225" i="6" s="1"/>
  <c r="H225" i="6" s="1"/>
  <c r="I9" i="4"/>
  <c r="H9" i="4" s="1"/>
  <c r="O9" i="4" s="1"/>
  <c r="I192" i="5"/>
  <c r="H192" i="5" s="1"/>
  <c r="O192" i="5" s="1"/>
  <c r="N187" i="5"/>
  <c r="N230" i="6"/>
  <c r="N32" i="2"/>
  <c r="N183" i="4"/>
  <c r="I167" i="5"/>
  <c r="I168" i="5" s="1"/>
  <c r="I169" i="5" s="1"/>
  <c r="H169" i="5" s="1"/>
  <c r="O169" i="5" s="1"/>
  <c r="I13" i="6"/>
  <c r="H13" i="6" s="1"/>
  <c r="O13" i="6" s="1"/>
  <c r="N188" i="6"/>
  <c r="N232" i="6"/>
  <c r="N234" i="6"/>
  <c r="I5" i="4"/>
  <c r="N159" i="4"/>
  <c r="I235" i="6"/>
  <c r="H235" i="6" s="1"/>
  <c r="O235" i="6" s="1"/>
  <c r="N212" i="5"/>
  <c r="N33" i="6"/>
  <c r="I152" i="5"/>
  <c r="H152" i="5" s="1"/>
  <c r="O152" i="5" s="1"/>
  <c r="I127" i="4"/>
  <c r="H127" i="4" s="1"/>
  <c r="O127" i="4" s="1"/>
  <c r="N41" i="6"/>
  <c r="N12" i="6"/>
  <c r="I193" i="6"/>
  <c r="H193" i="6" s="1"/>
  <c r="O193" i="6" s="1"/>
  <c r="N84" i="1"/>
  <c r="N35" i="6"/>
  <c r="N227" i="4"/>
  <c r="N77" i="5"/>
  <c r="N233" i="6"/>
  <c r="N211" i="4"/>
  <c r="N49" i="6"/>
  <c r="I11" i="6"/>
  <c r="H11" i="6" s="1"/>
  <c r="O11" i="6" s="1"/>
  <c r="N154" i="4"/>
  <c r="N114" i="5"/>
  <c r="I251" i="6"/>
  <c r="H251" i="6" s="1"/>
  <c r="O251" i="6" s="1"/>
  <c r="N197" i="6"/>
  <c r="N192" i="6"/>
  <c r="N244" i="6"/>
  <c r="N7" i="2"/>
  <c r="N173" i="5"/>
  <c r="N389" i="6"/>
  <c r="N193" i="5"/>
  <c r="N53" i="6"/>
  <c r="N205" i="6"/>
  <c r="N218" i="4"/>
  <c r="N203" i="6"/>
  <c r="N5" i="6"/>
  <c r="N9" i="6"/>
  <c r="N109" i="4"/>
  <c r="N213" i="5"/>
  <c r="I54" i="6"/>
  <c r="N25" i="2"/>
  <c r="N189" i="4"/>
  <c r="N17" i="6"/>
  <c r="N82" i="1"/>
  <c r="I102" i="5"/>
  <c r="H102" i="5" s="1"/>
  <c r="N154" i="5"/>
  <c r="N123" i="6"/>
  <c r="N95" i="4"/>
  <c r="N3" i="2"/>
  <c r="N27" i="5"/>
  <c r="N200" i="4"/>
  <c r="N31" i="6"/>
  <c r="N19" i="5"/>
  <c r="N26" i="4"/>
  <c r="N138" i="5"/>
  <c r="N14" i="6"/>
  <c r="N158" i="5"/>
  <c r="N15" i="4"/>
  <c r="N206" i="4"/>
  <c r="N201" i="6"/>
  <c r="I80" i="6"/>
  <c r="H80" i="6" s="1"/>
  <c r="O80" i="6" s="1"/>
  <c r="I191" i="6"/>
  <c r="H191" i="6" s="1"/>
  <c r="O191" i="6" s="1"/>
  <c r="N136" i="4"/>
  <c r="I137" i="4"/>
  <c r="H137" i="4" s="1"/>
  <c r="O137" i="4" s="1"/>
  <c r="N53" i="5"/>
  <c r="N19" i="6"/>
  <c r="I20" i="6"/>
  <c r="H20" i="6" s="1"/>
  <c r="O20" i="6" s="1"/>
  <c r="N142" i="4"/>
  <c r="I143" i="4"/>
  <c r="H143" i="4" s="1"/>
  <c r="O143" i="4" s="1"/>
  <c r="I248" i="6"/>
  <c r="H248" i="6" s="1"/>
  <c r="O248" i="6" s="1"/>
  <c r="N118" i="4"/>
  <c r="N202" i="4"/>
  <c r="N50" i="4"/>
  <c r="I51" i="4"/>
  <c r="N118" i="5"/>
  <c r="N232" i="4"/>
  <c r="N122" i="5"/>
  <c r="I149" i="4"/>
  <c r="H149" i="4" s="1"/>
  <c r="O149" i="4" s="1"/>
  <c r="N148" i="4"/>
  <c r="N171" i="4"/>
  <c r="I172" i="4"/>
  <c r="H172" i="4" s="1"/>
  <c r="O172" i="4" s="1"/>
  <c r="N210" i="4"/>
  <c r="N197" i="5"/>
  <c r="N222" i="4"/>
  <c r="N182" i="6"/>
  <c r="N190" i="6"/>
  <c r="N184" i="6"/>
  <c r="I185" i="6"/>
  <c r="H185" i="6" s="1"/>
  <c r="O185" i="6" s="1"/>
  <c r="N108" i="4"/>
  <c r="I181" i="4"/>
  <c r="H181" i="4" s="1"/>
  <c r="O181" i="4" s="1"/>
  <c r="N206" i="6"/>
  <c r="N140" i="4"/>
  <c r="N216" i="5"/>
  <c r="N3" i="6"/>
  <c r="I146" i="4"/>
  <c r="H146" i="4" s="1"/>
  <c r="O146" i="4" s="1"/>
  <c r="I163" i="4"/>
  <c r="H163" i="4" s="1"/>
  <c r="O163" i="4" s="1"/>
  <c r="N35" i="4"/>
  <c r="N152" i="4"/>
  <c r="N195" i="6"/>
  <c r="N57" i="4"/>
  <c r="N122" i="6"/>
  <c r="N20" i="4"/>
  <c r="N64" i="4"/>
  <c r="N156" i="4"/>
  <c r="I123" i="4"/>
  <c r="H123" i="4" s="1"/>
  <c r="O123" i="4" s="1"/>
  <c r="N51" i="6"/>
  <c r="I120" i="4"/>
  <c r="H120" i="4" s="1"/>
  <c r="O120" i="4" s="1"/>
  <c r="N21" i="4"/>
  <c r="H65" i="4"/>
  <c r="O65" i="4" s="1"/>
  <c r="I66" i="4"/>
  <c r="H66" i="4" s="1"/>
  <c r="O66" i="4" s="1"/>
  <c r="N16" i="4"/>
  <c r="H58" i="4"/>
  <c r="O58" i="4" s="1"/>
  <c r="I59" i="4"/>
  <c r="H59" i="4" s="1"/>
  <c r="O59" i="4" s="1"/>
  <c r="I155" i="5"/>
  <c r="I166" i="4"/>
  <c r="H166" i="4" s="1"/>
  <c r="O166" i="4" s="1"/>
  <c r="I240" i="6"/>
  <c r="H240" i="6" s="1"/>
  <c r="O240" i="6" s="1"/>
  <c r="I27" i="4"/>
  <c r="I170" i="4"/>
  <c r="H170" i="4" s="1"/>
  <c r="O170" i="4" s="1"/>
  <c r="I222" i="5"/>
  <c r="H222" i="5" s="1"/>
  <c r="O222" i="5" s="1"/>
  <c r="N133" i="4"/>
  <c r="I208" i="6"/>
  <c r="N121" i="6"/>
  <c r="N198" i="5"/>
  <c r="I196" i="6"/>
  <c r="H196" i="6" s="1"/>
  <c r="O196" i="6" s="1"/>
  <c r="I171" i="5"/>
  <c r="I172" i="5" s="1"/>
  <c r="H172" i="5" s="1"/>
  <c r="O172" i="5" s="1"/>
  <c r="N141" i="4"/>
  <c r="I15" i="6"/>
  <c r="I203" i="5"/>
  <c r="H203" i="5" s="1"/>
  <c r="O203" i="5" s="1"/>
  <c r="I18" i="6"/>
  <c r="H18" i="6" s="1"/>
  <c r="O18" i="6" s="1"/>
  <c r="N168" i="4"/>
  <c r="N122" i="4"/>
  <c r="N31" i="2"/>
  <c r="I178" i="4"/>
  <c r="H178" i="4" s="1"/>
  <c r="O178" i="4" s="1"/>
  <c r="N130" i="4"/>
  <c r="N21" i="6"/>
  <c r="N180" i="5"/>
  <c r="N162" i="4"/>
  <c r="I202" i="6"/>
  <c r="H202" i="6" s="1"/>
  <c r="O202" i="6" s="1"/>
  <c r="N155" i="4"/>
  <c r="N37" i="6"/>
  <c r="I179" i="5"/>
  <c r="H179" i="5" s="1"/>
  <c r="O179" i="5" s="1"/>
  <c r="N29" i="4"/>
  <c r="I22" i="6"/>
  <c r="H22" i="6" s="1"/>
  <c r="O22" i="6" s="1"/>
  <c r="N48" i="6"/>
  <c r="N174" i="4"/>
  <c r="N112" i="5"/>
  <c r="I163" i="5"/>
  <c r="I137" i="5"/>
  <c r="H137" i="5" s="1"/>
  <c r="O137" i="5" s="1"/>
  <c r="I113" i="6"/>
  <c r="I159" i="5"/>
  <c r="I195" i="5"/>
  <c r="H195" i="5" s="1"/>
  <c r="O195" i="5" s="1"/>
  <c r="I107" i="5"/>
  <c r="H107" i="5" s="1"/>
  <c r="O107" i="5" s="1"/>
  <c r="N186" i="6"/>
  <c r="N239" i="6"/>
  <c r="I204" i="6"/>
  <c r="H204" i="6" s="1"/>
  <c r="O204" i="6" s="1"/>
  <c r="I198" i="6"/>
  <c r="H198" i="6" s="1"/>
  <c r="O198" i="6" s="1"/>
  <c r="N120" i="6"/>
  <c r="N231" i="6"/>
  <c r="I124" i="6"/>
  <c r="H124" i="6" s="1"/>
  <c r="O124" i="6" s="1"/>
  <c r="I75" i="4"/>
  <c r="N214" i="6"/>
  <c r="N40" i="6"/>
  <c r="N125" i="4"/>
  <c r="N39" i="6"/>
  <c r="N190" i="4"/>
  <c r="I208" i="5"/>
  <c r="H208" i="5" s="1"/>
  <c r="O208" i="5" s="1"/>
  <c r="N27" i="2"/>
  <c r="N222" i="6"/>
  <c r="I98" i="4"/>
  <c r="I24" i="4"/>
  <c r="I36" i="4"/>
  <c r="H36" i="4" s="1"/>
  <c r="O36" i="4" s="1"/>
  <c r="I139" i="5"/>
  <c r="I182" i="5"/>
  <c r="I127" i="5"/>
  <c r="I187" i="6"/>
  <c r="H187" i="6" s="1"/>
  <c r="O187" i="6" s="1"/>
  <c r="I112" i="4"/>
  <c r="H112" i="4" s="1"/>
  <c r="O112" i="4" s="1"/>
  <c r="N10" i="6"/>
  <c r="I143" i="5"/>
  <c r="N18" i="3"/>
  <c r="I18" i="4"/>
  <c r="I210" i="5"/>
  <c r="H210" i="5" s="1"/>
  <c r="O210" i="5" s="1"/>
  <c r="N207" i="6"/>
  <c r="I147" i="5"/>
  <c r="N139" i="4"/>
  <c r="I161" i="4"/>
  <c r="H161" i="4" s="1"/>
  <c r="O161" i="4" s="1"/>
  <c r="I135" i="4"/>
  <c r="H135" i="4" s="1"/>
  <c r="O135" i="4" s="1"/>
  <c r="N150" i="5"/>
  <c r="I44" i="4"/>
  <c r="N23" i="6"/>
  <c r="I24" i="6"/>
  <c r="H24" i="6" s="1"/>
  <c r="O24" i="6" s="1"/>
  <c r="N245" i="6" l="1"/>
  <c r="O245" i="6"/>
  <c r="N189" i="6"/>
  <c r="O189" i="6"/>
  <c r="N225" i="6"/>
  <c r="O225" i="6"/>
  <c r="N102" i="5"/>
  <c r="O102" i="5"/>
  <c r="N26" i="2"/>
  <c r="O26" i="2"/>
  <c r="I176" i="4"/>
  <c r="H176" i="4" s="1"/>
  <c r="O176" i="4" s="1"/>
  <c r="N30" i="4"/>
  <c r="I91" i="4"/>
  <c r="I92" i="4" s="1"/>
  <c r="I93" i="4" s="1"/>
  <c r="I80" i="4"/>
  <c r="I81" i="4" s="1"/>
  <c r="N87" i="4"/>
  <c r="N96" i="4"/>
  <c r="N89" i="4"/>
  <c r="H31" i="4"/>
  <c r="O31" i="4" s="1"/>
  <c r="I32" i="4"/>
  <c r="H32" i="4" s="1"/>
  <c r="O32" i="4" s="1"/>
  <c r="N20" i="3"/>
  <c r="N200" i="6"/>
  <c r="N22" i="4"/>
  <c r="H19" i="3"/>
  <c r="N52" i="6"/>
  <c r="N158" i="4"/>
  <c r="I43" i="6"/>
  <c r="I44" i="6" s="1"/>
  <c r="H44" i="6" s="1"/>
  <c r="N42" i="6"/>
  <c r="I216" i="6"/>
  <c r="I217" i="6" s="1"/>
  <c r="H217" i="6" s="1"/>
  <c r="O217" i="6" s="1"/>
  <c r="N90" i="4"/>
  <c r="I226" i="6"/>
  <c r="H226" i="6" s="1"/>
  <c r="O226" i="6" s="1"/>
  <c r="H223" i="6"/>
  <c r="O223" i="6" s="1"/>
  <c r="N215" i="6"/>
  <c r="N175" i="4"/>
  <c r="H224" i="6"/>
  <c r="O224" i="6" s="1"/>
  <c r="N152" i="5"/>
  <c r="N185" i="4"/>
  <c r="H168" i="5"/>
  <c r="O168" i="5" s="1"/>
  <c r="N9" i="4"/>
  <c r="I10" i="4"/>
  <c r="N192" i="5"/>
  <c r="N13" i="6"/>
  <c r="H167" i="5"/>
  <c r="O167" i="5" s="1"/>
  <c r="N127" i="4"/>
  <c r="H171" i="5"/>
  <c r="O171" i="5" s="1"/>
  <c r="N235" i="6"/>
  <c r="I6" i="4"/>
  <c r="H6" i="4" s="1"/>
  <c r="O6" i="4" s="1"/>
  <c r="H5" i="4"/>
  <c r="O5" i="4" s="1"/>
  <c r="I153" i="5"/>
  <c r="H153" i="5" s="1"/>
  <c r="O153" i="5" s="1"/>
  <c r="N11" i="6"/>
  <c r="N193" i="6"/>
  <c r="I252" i="6"/>
  <c r="H252" i="6" s="1"/>
  <c r="O252" i="6" s="1"/>
  <c r="N251" i="6"/>
  <c r="H54" i="6"/>
  <c r="O54" i="6" s="1"/>
  <c r="I55" i="6"/>
  <c r="H55" i="6" s="1"/>
  <c r="O55" i="6" s="1"/>
  <c r="N80" i="6"/>
  <c r="I81" i="6"/>
  <c r="H81" i="6" s="1"/>
  <c r="O81" i="6" s="1"/>
  <c r="N112" i="4"/>
  <c r="I113" i="4"/>
  <c r="H113" i="4" s="1"/>
  <c r="O113" i="4" s="1"/>
  <c r="N36" i="4"/>
  <c r="I37" i="4"/>
  <c r="I76" i="4"/>
  <c r="H76" i="4" s="1"/>
  <c r="O76" i="4" s="1"/>
  <c r="H75" i="4"/>
  <c r="O75" i="4" s="1"/>
  <c r="I167" i="4"/>
  <c r="H167" i="4" s="1"/>
  <c r="O167" i="4" s="1"/>
  <c r="N166" i="4"/>
  <c r="N143" i="4"/>
  <c r="I144" i="4"/>
  <c r="H144" i="4" s="1"/>
  <c r="O144" i="4" s="1"/>
  <c r="N135" i="4"/>
  <c r="N210" i="5"/>
  <c r="N187" i="6"/>
  <c r="N208" i="5"/>
  <c r="N124" i="6"/>
  <c r="I125" i="6"/>
  <c r="H159" i="5"/>
  <c r="O159" i="5" s="1"/>
  <c r="I160" i="5"/>
  <c r="N18" i="6"/>
  <c r="H155" i="5"/>
  <c r="O155" i="5" s="1"/>
  <c r="I156" i="5"/>
  <c r="I164" i="4"/>
  <c r="H164" i="4" s="1"/>
  <c r="O164" i="4" s="1"/>
  <c r="N163" i="4"/>
  <c r="I182" i="4"/>
  <c r="H182" i="4" s="1"/>
  <c r="O182" i="4" s="1"/>
  <c r="N181" i="4"/>
  <c r="I19" i="4"/>
  <c r="H19" i="4" s="1"/>
  <c r="O19" i="4" s="1"/>
  <c r="H18" i="4"/>
  <c r="O18" i="4" s="1"/>
  <c r="N198" i="6"/>
  <c r="H113" i="6"/>
  <c r="O113" i="6" s="1"/>
  <c r="I114" i="6"/>
  <c r="H114" i="6" s="1"/>
  <c r="O114" i="6" s="1"/>
  <c r="N202" i="6"/>
  <c r="I179" i="4"/>
  <c r="H179" i="4" s="1"/>
  <c r="O179" i="4" s="1"/>
  <c r="N178" i="4"/>
  <c r="N203" i="5"/>
  <c r="H208" i="6"/>
  <c r="O208" i="6" s="1"/>
  <c r="I209" i="6"/>
  <c r="H209" i="6" s="1"/>
  <c r="O209" i="6" s="1"/>
  <c r="N59" i="4"/>
  <c r="I60" i="4"/>
  <c r="I121" i="4"/>
  <c r="H121" i="4" s="1"/>
  <c r="O121" i="4" s="1"/>
  <c r="N120" i="4"/>
  <c r="N172" i="4"/>
  <c r="I173" i="4"/>
  <c r="H173" i="4" s="1"/>
  <c r="O173" i="4" s="1"/>
  <c r="I138" i="4"/>
  <c r="H138" i="4" s="1"/>
  <c r="O138" i="4" s="1"/>
  <c r="N137" i="4"/>
  <c r="I25" i="4"/>
  <c r="H25" i="4" s="1"/>
  <c r="O25" i="4" s="1"/>
  <c r="H24" i="4"/>
  <c r="O24" i="4" s="1"/>
  <c r="N79" i="4"/>
  <c r="N137" i="5"/>
  <c r="N58" i="4"/>
  <c r="I147" i="4"/>
  <c r="H147" i="4" s="1"/>
  <c r="O147" i="4" s="1"/>
  <c r="N146" i="4"/>
  <c r="N20" i="6"/>
  <c r="N161" i="4"/>
  <c r="H98" i="4"/>
  <c r="O98" i="4" s="1"/>
  <c r="I99" i="4"/>
  <c r="N107" i="5"/>
  <c r="H15" i="6"/>
  <c r="O15" i="6" s="1"/>
  <c r="I16" i="6"/>
  <c r="H16" i="6" s="1"/>
  <c r="O16" i="6" s="1"/>
  <c r="N222" i="5"/>
  <c r="N191" i="6"/>
  <c r="N172" i="5"/>
  <c r="I148" i="5"/>
  <c r="H148" i="5" s="1"/>
  <c r="O148" i="5" s="1"/>
  <c r="H147" i="5"/>
  <c r="O147" i="5" s="1"/>
  <c r="I128" i="5"/>
  <c r="H127" i="5"/>
  <c r="O127" i="5" s="1"/>
  <c r="N204" i="6"/>
  <c r="N195" i="5"/>
  <c r="H163" i="5"/>
  <c r="O163" i="5" s="1"/>
  <c r="I164" i="5"/>
  <c r="N179" i="5"/>
  <c r="N170" i="4"/>
  <c r="N123" i="4"/>
  <c r="I124" i="4"/>
  <c r="H124" i="4" s="1"/>
  <c r="O124" i="4" s="1"/>
  <c r="N185" i="6"/>
  <c r="I150" i="4"/>
  <c r="H150" i="4" s="1"/>
  <c r="O150" i="4" s="1"/>
  <c r="N149" i="4"/>
  <c r="I45" i="4"/>
  <c r="H45" i="4" s="1"/>
  <c r="O45" i="4" s="1"/>
  <c r="H44" i="4"/>
  <c r="O44" i="4" s="1"/>
  <c r="H143" i="5"/>
  <c r="O143" i="5" s="1"/>
  <c r="I144" i="5"/>
  <c r="H144" i="5" s="1"/>
  <c r="O144" i="5" s="1"/>
  <c r="I183" i="5"/>
  <c r="H182" i="5"/>
  <c r="O182" i="5" s="1"/>
  <c r="I28" i="4"/>
  <c r="H28" i="4" s="1"/>
  <c r="O28" i="4" s="1"/>
  <c r="H27" i="4"/>
  <c r="O27" i="4" s="1"/>
  <c r="N66" i="4"/>
  <c r="I67" i="4"/>
  <c r="I52" i="4"/>
  <c r="H52" i="4" s="1"/>
  <c r="O52" i="4" s="1"/>
  <c r="H51" i="4"/>
  <c r="O51" i="4" s="1"/>
  <c r="N248" i="6"/>
  <c r="H139" i="5"/>
  <c r="O139" i="5" s="1"/>
  <c r="I140" i="5"/>
  <c r="H140" i="5" s="1"/>
  <c r="O140" i="5" s="1"/>
  <c r="N22" i="6"/>
  <c r="N196" i="6"/>
  <c r="N240" i="6"/>
  <c r="I241" i="6"/>
  <c r="H241" i="6" s="1"/>
  <c r="O241" i="6" s="1"/>
  <c r="N65" i="4"/>
  <c r="N169" i="5"/>
  <c r="H92" i="4"/>
  <c r="O92" i="4" s="1"/>
  <c r="N24" i="6"/>
  <c r="H25" i="6"/>
  <c r="O25" i="6" s="1"/>
  <c r="N44" i="6" l="1"/>
  <c r="O44" i="6"/>
  <c r="N19" i="3"/>
  <c r="O19" i="3"/>
  <c r="H91" i="4"/>
  <c r="O91" i="4" s="1"/>
  <c r="N176" i="4"/>
  <c r="N31" i="4"/>
  <c r="N32" i="4"/>
  <c r="N226" i="6"/>
  <c r="I218" i="6"/>
  <c r="H218" i="6" s="1"/>
  <c r="H216" i="6"/>
  <c r="O216" i="6" s="1"/>
  <c r="H43" i="6"/>
  <c r="N217" i="6"/>
  <c r="N223" i="6"/>
  <c r="N168" i="5"/>
  <c r="N224" i="6"/>
  <c r="N171" i="5"/>
  <c r="I11" i="4"/>
  <c r="H11" i="4" s="1"/>
  <c r="O11" i="4" s="1"/>
  <c r="H10" i="4"/>
  <c r="O10" i="4" s="1"/>
  <c r="N167" i="5"/>
  <c r="N153" i="5"/>
  <c r="N5" i="4"/>
  <c r="N6" i="4"/>
  <c r="N252" i="6"/>
  <c r="N81" i="6"/>
  <c r="I56" i="6"/>
  <c r="N55" i="6"/>
  <c r="N54" i="6"/>
  <c r="N52" i="4"/>
  <c r="I53" i="4"/>
  <c r="I145" i="5"/>
  <c r="H145" i="5" s="1"/>
  <c r="O145" i="5" s="1"/>
  <c r="N144" i="5"/>
  <c r="H164" i="5"/>
  <c r="O164" i="5" s="1"/>
  <c r="I165" i="5"/>
  <c r="H165" i="5" s="1"/>
  <c r="O165" i="5" s="1"/>
  <c r="N147" i="5"/>
  <c r="N16" i="6"/>
  <c r="I126" i="6"/>
  <c r="H125" i="6"/>
  <c r="O125" i="6" s="1"/>
  <c r="N75" i="4"/>
  <c r="N124" i="4"/>
  <c r="N163" i="5"/>
  <c r="N148" i="5"/>
  <c r="I149" i="5"/>
  <c r="H149" i="5" s="1"/>
  <c r="O149" i="5" s="1"/>
  <c r="N15" i="6"/>
  <c r="I61" i="4"/>
  <c r="H60" i="4"/>
  <c r="O60" i="4" s="1"/>
  <c r="N18" i="4"/>
  <c r="H156" i="5"/>
  <c r="O156" i="5" s="1"/>
  <c r="I157" i="5"/>
  <c r="H157" i="5" s="1"/>
  <c r="O157" i="5" s="1"/>
  <c r="N76" i="4"/>
  <c r="N44" i="4"/>
  <c r="N138" i="4"/>
  <c r="N179" i="4"/>
  <c r="N19" i="4"/>
  <c r="N155" i="5"/>
  <c r="N144" i="4"/>
  <c r="I38" i="4"/>
  <c r="H37" i="4"/>
  <c r="O37" i="4" s="1"/>
  <c r="I68" i="4"/>
  <c r="H67" i="4"/>
  <c r="O67" i="4" s="1"/>
  <c r="N140" i="5"/>
  <c r="I141" i="5"/>
  <c r="H141" i="5" s="1"/>
  <c r="O141" i="5" s="1"/>
  <c r="I46" i="4"/>
  <c r="N45" i="4"/>
  <c r="N241" i="6"/>
  <c r="N139" i="5"/>
  <c r="N27" i="4"/>
  <c r="H99" i="4"/>
  <c r="O99" i="4" s="1"/>
  <c r="I100" i="4"/>
  <c r="N173" i="4"/>
  <c r="N209" i="6"/>
  <c r="I210" i="6"/>
  <c r="H210" i="6" s="1"/>
  <c r="O210" i="6" s="1"/>
  <c r="N143" i="5"/>
  <c r="N28" i="4"/>
  <c r="N98" i="4"/>
  <c r="N147" i="4"/>
  <c r="N208" i="6"/>
  <c r="N114" i="6"/>
  <c r="I115" i="6"/>
  <c r="H115" i="6" s="1"/>
  <c r="O115" i="6" s="1"/>
  <c r="N182" i="4"/>
  <c r="I161" i="5"/>
  <c r="H161" i="5" s="1"/>
  <c r="O161" i="5" s="1"/>
  <c r="H160" i="5"/>
  <c r="O160" i="5" s="1"/>
  <c r="N113" i="4"/>
  <c r="N182" i="5"/>
  <c r="N150" i="4"/>
  <c r="N127" i="5"/>
  <c r="N24" i="4"/>
  <c r="N113" i="6"/>
  <c r="N159" i="5"/>
  <c r="N51" i="4"/>
  <c r="H183" i="5"/>
  <c r="O183" i="5" s="1"/>
  <c r="I184" i="5"/>
  <c r="I129" i="5"/>
  <c r="H128" i="5"/>
  <c r="O128" i="5" s="1"/>
  <c r="N25" i="4"/>
  <c r="N121" i="4"/>
  <c r="N164" i="4"/>
  <c r="N167" i="4"/>
  <c r="N92" i="4"/>
  <c r="H93" i="4"/>
  <c r="O93" i="4" s="1"/>
  <c r="I94" i="4"/>
  <c r="H94" i="4" s="1"/>
  <c r="O94" i="4" s="1"/>
  <c r="N25" i="6"/>
  <c r="I26" i="6"/>
  <c r="H26" i="6" s="1"/>
  <c r="O26" i="6" s="1"/>
  <c r="N218" i="6" l="1"/>
  <c r="O218" i="6"/>
  <c r="N43" i="6"/>
  <c r="O43" i="6"/>
  <c r="N91" i="4"/>
  <c r="H38" i="4"/>
  <c r="O38" i="4" s="1"/>
  <c r="N216" i="6"/>
  <c r="N10" i="4"/>
  <c r="N11" i="4"/>
  <c r="I57" i="6"/>
  <c r="H56" i="6"/>
  <c r="O56" i="6" s="1"/>
  <c r="H184" i="5"/>
  <c r="O184" i="5" s="1"/>
  <c r="I185" i="5"/>
  <c r="H185" i="5" s="1"/>
  <c r="O185" i="5" s="1"/>
  <c r="N183" i="5"/>
  <c r="H68" i="4"/>
  <c r="O68" i="4" s="1"/>
  <c r="I69" i="4"/>
  <c r="N165" i="5"/>
  <c r="N160" i="5"/>
  <c r="N37" i="4"/>
  <c r="N149" i="5"/>
  <c r="N164" i="5"/>
  <c r="I101" i="4"/>
  <c r="H101" i="4" s="1"/>
  <c r="O101" i="4" s="1"/>
  <c r="H100" i="4"/>
  <c r="O100" i="4" s="1"/>
  <c r="N99" i="4"/>
  <c r="N125" i="6"/>
  <c r="N156" i="5"/>
  <c r="I47" i="4"/>
  <c r="H46" i="4"/>
  <c r="O46" i="4" s="1"/>
  <c r="I127" i="6"/>
  <c r="H127" i="6" s="1"/>
  <c r="O127" i="6" s="1"/>
  <c r="H126" i="6"/>
  <c r="O126" i="6" s="1"/>
  <c r="N157" i="5"/>
  <c r="N161" i="5"/>
  <c r="N210" i="6"/>
  <c r="N145" i="5"/>
  <c r="N128" i="5"/>
  <c r="N115" i="6"/>
  <c r="I116" i="6"/>
  <c r="H116" i="6" s="1"/>
  <c r="O116" i="6" s="1"/>
  <c r="N141" i="5"/>
  <c r="N60" i="4"/>
  <c r="H53" i="4"/>
  <c r="O53" i="4" s="1"/>
  <c r="I54" i="4"/>
  <c r="H61" i="4"/>
  <c r="O61" i="4" s="1"/>
  <c r="I62" i="4"/>
  <c r="H129" i="5"/>
  <c r="O129" i="5" s="1"/>
  <c r="I130" i="5"/>
  <c r="N67" i="4"/>
  <c r="N93" i="4"/>
  <c r="N94" i="4"/>
  <c r="N26" i="6"/>
  <c r="H27" i="6"/>
  <c r="O27" i="6" s="1"/>
  <c r="N38" i="4" l="1"/>
  <c r="I39" i="4"/>
  <c r="H39" i="4" s="1"/>
  <c r="O39" i="4" s="1"/>
  <c r="N56" i="6"/>
  <c r="I58" i="6"/>
  <c r="H57" i="6"/>
  <c r="O57" i="6" s="1"/>
  <c r="N129" i="5"/>
  <c r="I63" i="4"/>
  <c r="H63" i="4" s="1"/>
  <c r="O63" i="4" s="1"/>
  <c r="H62" i="4"/>
  <c r="O62" i="4" s="1"/>
  <c r="N127" i="6"/>
  <c r="N116" i="6"/>
  <c r="N101" i="4"/>
  <c r="N68" i="4"/>
  <c r="I131" i="5"/>
  <c r="H130" i="5"/>
  <c r="O130" i="5" s="1"/>
  <c r="N46" i="4"/>
  <c r="H69" i="4"/>
  <c r="O69" i="4" s="1"/>
  <c r="I70" i="4"/>
  <c r="H70" i="4" s="1"/>
  <c r="O70" i="4" s="1"/>
  <c r="H47" i="4"/>
  <c r="O47" i="4" s="1"/>
  <c r="I48" i="4"/>
  <c r="N53" i="4"/>
  <c r="N126" i="6"/>
  <c r="I55" i="4"/>
  <c r="H54" i="4"/>
  <c r="O54" i="4" s="1"/>
  <c r="N61" i="4"/>
  <c r="N100" i="4"/>
  <c r="N185" i="5"/>
  <c r="N184" i="5"/>
  <c r="N27" i="6"/>
  <c r="I40" i="4" l="1"/>
  <c r="I41" i="4" s="1"/>
  <c r="N39" i="4"/>
  <c r="N57" i="6"/>
  <c r="I59" i="6"/>
  <c r="H58" i="6"/>
  <c r="O58" i="6" s="1"/>
  <c r="N130" i="5"/>
  <c r="I132" i="5"/>
  <c r="H131" i="5"/>
  <c r="O131" i="5" s="1"/>
  <c r="N54" i="4"/>
  <c r="I49" i="4"/>
  <c r="H49" i="4" s="1"/>
  <c r="O49" i="4" s="1"/>
  <c r="H48" i="4"/>
  <c r="O48" i="4" s="1"/>
  <c r="N62" i="4"/>
  <c r="N47" i="4"/>
  <c r="N63" i="4"/>
  <c r="N70" i="4"/>
  <c r="I56" i="4"/>
  <c r="H56" i="4" s="1"/>
  <c r="O56" i="4" s="1"/>
  <c r="H55" i="4"/>
  <c r="O55" i="4" s="1"/>
  <c r="N69" i="4"/>
  <c r="H40" i="4" l="1"/>
  <c r="O40" i="4" s="1"/>
  <c r="H41" i="4"/>
  <c r="O41" i="4" s="1"/>
  <c r="I42" i="4"/>
  <c r="H42" i="4" s="1"/>
  <c r="O42" i="4" s="1"/>
  <c r="I60" i="6"/>
  <c r="H60" i="6" s="1"/>
  <c r="O60" i="6" s="1"/>
  <c r="H59" i="6"/>
  <c r="O59" i="6" s="1"/>
  <c r="N58" i="6"/>
  <c r="N131" i="5"/>
  <c r="N55" i="4"/>
  <c r="N56" i="4"/>
  <c r="N48" i="4"/>
  <c r="H132" i="5"/>
  <c r="O132" i="5" s="1"/>
  <c r="I133" i="5"/>
  <c r="N49" i="4"/>
  <c r="N40" i="4" l="1"/>
  <c r="N42" i="4"/>
  <c r="N41" i="4"/>
  <c r="I61" i="6"/>
  <c r="I62" i="6" s="1"/>
  <c r="I63" i="6" s="1"/>
  <c r="N60" i="6"/>
  <c r="N59" i="6"/>
  <c r="H133" i="5"/>
  <c r="O133" i="5" s="1"/>
  <c r="I134" i="5"/>
  <c r="N132" i="5"/>
  <c r="H62" i="6" l="1"/>
  <c r="O62" i="6" s="1"/>
  <c r="H61" i="6"/>
  <c r="N133" i="5"/>
  <c r="I135" i="5"/>
  <c r="H135" i="5" s="1"/>
  <c r="O135" i="5" s="1"/>
  <c r="H134" i="5"/>
  <c r="O134" i="5" s="1"/>
  <c r="I64" i="6"/>
  <c r="H63" i="6"/>
  <c r="O63" i="6" s="1"/>
  <c r="N61" i="6" l="1"/>
  <c r="O61" i="6"/>
  <c r="N62" i="6"/>
  <c r="N134" i="5"/>
  <c r="N135" i="5"/>
  <c r="N63" i="6"/>
  <c r="I65" i="6"/>
  <c r="H64" i="6"/>
  <c r="O64" i="6" s="1"/>
  <c r="N64" i="6" l="1"/>
  <c r="I66" i="6"/>
  <c r="H65" i="6"/>
  <c r="O65" i="6" s="1"/>
  <c r="N65" i="6" l="1"/>
  <c r="I67" i="6"/>
  <c r="H67" i="6" s="1"/>
  <c r="O67" i="6" s="1"/>
  <c r="H66" i="6"/>
  <c r="O66" i="6" s="1"/>
  <c r="N66" i="6" l="1"/>
  <c r="N67" i="6"/>
  <c r="I68" i="6"/>
  <c r="H68" i="6" l="1"/>
  <c r="I69" i="6" l="1"/>
  <c r="H69" i="6" s="1"/>
  <c r="O69" i="6" s="1"/>
  <c r="O68" i="6"/>
  <c r="N68" i="6"/>
  <c r="N69" i="6" l="1"/>
  <c r="I70" i="6"/>
  <c r="H70" i="6" s="1"/>
  <c r="O70" i="6" s="1"/>
  <c r="I71" i="6" l="1"/>
  <c r="H71" i="6" s="1"/>
  <c r="N70" i="6"/>
  <c r="I72" i="6" l="1"/>
  <c r="H72" i="6" s="1"/>
  <c r="O72" i="6" s="1"/>
  <c r="O71" i="6"/>
  <c r="N71" i="6"/>
  <c r="I73" i="6" l="1"/>
  <c r="H73" i="6" s="1"/>
  <c r="O73" i="6" s="1"/>
  <c r="N72" i="6"/>
  <c r="I74" i="6" l="1"/>
  <c r="H74" i="6" s="1"/>
  <c r="N73" i="6"/>
  <c r="I75" i="6" l="1"/>
  <c r="I76" i="6" s="1"/>
  <c r="H76" i="6" s="1"/>
  <c r="O76" i="6" s="1"/>
  <c r="O74" i="6"/>
  <c r="N74" i="6"/>
  <c r="H75" i="6" l="1"/>
  <c r="O75" i="6" s="1"/>
  <c r="N76" i="6"/>
  <c r="I82" i="6" l="1"/>
  <c r="H82" i="6" s="1"/>
  <c r="O82" i="6" s="1"/>
  <c r="N75" i="6"/>
  <c r="I83" i="6" l="1"/>
  <c r="H83" i="6" s="1"/>
  <c r="N82" i="6"/>
  <c r="I84" i="6" l="1"/>
  <c r="H84" i="6" s="1"/>
  <c r="O84" i="6" s="1"/>
  <c r="O83" i="6"/>
  <c r="N83" i="6"/>
  <c r="I85" i="6" l="1"/>
  <c r="H85" i="6" s="1"/>
  <c r="N84" i="6"/>
  <c r="I86" i="6" l="1"/>
  <c r="H86" i="6" s="1"/>
  <c r="O86" i="6" s="1"/>
  <c r="O85" i="6"/>
  <c r="N85" i="6"/>
  <c r="I87" i="6" l="1"/>
  <c r="H87" i="6" s="1"/>
  <c r="O87" i="6" s="1"/>
  <c r="N86" i="6"/>
  <c r="N87" i="6" l="1"/>
  <c r="I88" i="6"/>
  <c r="H88" i="6" s="1"/>
  <c r="O88" i="6" s="1"/>
  <c r="N88" i="6" l="1"/>
  <c r="I89" i="6"/>
  <c r="H89" i="6" l="1"/>
  <c r="I90" i="6" l="1"/>
  <c r="H90" i="6" s="1"/>
  <c r="O90" i="6" s="1"/>
  <c r="O89" i="6"/>
  <c r="N89" i="6"/>
  <c r="N90" i="6" l="1"/>
  <c r="I91" i="6"/>
  <c r="H91" i="6" s="1"/>
  <c r="I92" i="6" l="1"/>
  <c r="H92" i="6" s="1"/>
  <c r="O92" i="6" s="1"/>
  <c r="O91" i="6"/>
  <c r="N91" i="6"/>
  <c r="I93" i="6" l="1"/>
  <c r="H93" i="6" s="1"/>
  <c r="N92" i="6"/>
  <c r="I94" i="6" l="1"/>
  <c r="H94" i="6" s="1"/>
  <c r="O94" i="6" s="1"/>
  <c r="O93" i="6"/>
  <c r="N93" i="6"/>
  <c r="I95" i="6" l="1"/>
  <c r="I96" i="6" s="1"/>
  <c r="N94" i="6"/>
  <c r="H95" i="6" l="1"/>
  <c r="O95" i="6" s="1"/>
  <c r="H96" i="6"/>
  <c r="N95" i="6" l="1"/>
  <c r="I97" i="6"/>
  <c r="H97" i="6" s="1"/>
  <c r="O97" i="6" s="1"/>
  <c r="O96" i="6"/>
  <c r="N96" i="6"/>
  <c r="I98" i="6" l="1"/>
  <c r="H98" i="6" s="1"/>
  <c r="O98" i="6" s="1"/>
  <c r="N97" i="6"/>
  <c r="I99" i="6" l="1"/>
  <c r="H99" i="6" s="1"/>
  <c r="N98" i="6"/>
  <c r="I100" i="6" l="1"/>
  <c r="H100" i="6" s="1"/>
  <c r="O100" i="6" s="1"/>
  <c r="O99" i="6"/>
  <c r="N99" i="6"/>
  <c r="I101" i="6" l="1"/>
  <c r="N100" i="6"/>
  <c r="I102" i="6"/>
  <c r="H101" i="6"/>
  <c r="O101" i="6" s="1"/>
  <c r="N101" i="6" l="1"/>
  <c r="H102" i="6"/>
  <c r="I103" i="6" l="1"/>
  <c r="H103" i="6" s="1"/>
  <c r="O103" i="6" s="1"/>
  <c r="O102" i="6"/>
  <c r="N102" i="6"/>
  <c r="I104" i="6" l="1"/>
  <c r="H104" i="6" s="1"/>
  <c r="O104" i="6" s="1"/>
  <c r="N103" i="6"/>
  <c r="N104" i="6" l="1"/>
  <c r="I105" i="6"/>
  <c r="H105" i="6" s="1"/>
  <c r="I106" i="6" l="1"/>
  <c r="H106" i="6" s="1"/>
  <c r="O106" i="6" s="1"/>
  <c r="O105" i="6"/>
  <c r="N105" i="6"/>
  <c r="I107" i="6" l="1"/>
  <c r="H107" i="6" s="1"/>
  <c r="N106" i="6"/>
  <c r="I108" i="6" l="1"/>
  <c r="H108" i="6" s="1"/>
  <c r="O108" i="6" s="1"/>
  <c r="O107" i="6"/>
  <c r="N107" i="6"/>
  <c r="N108" i="6" l="1"/>
  <c r="I109" i="6"/>
  <c r="H109" i="6" s="1"/>
  <c r="I117" i="6" l="1"/>
  <c r="H117" i="6" s="1"/>
  <c r="O109" i="6"/>
  <c r="N109" i="6"/>
  <c r="O117" i="6" l="1"/>
  <c r="N117" i="6"/>
  <c r="I118" i="6"/>
  <c r="H118" i="6" s="1"/>
  <c r="I128" i="6" l="1"/>
  <c r="H128" i="6" s="1"/>
  <c r="O118" i="6"/>
  <c r="N118" i="6"/>
  <c r="O128" i="6" l="1"/>
  <c r="I129" i="6"/>
  <c r="N128" i="6"/>
  <c r="H129" i="6" l="1"/>
  <c r="I130" i="6"/>
  <c r="I131" i="6" l="1"/>
  <c r="H131" i="6" s="1"/>
  <c r="H130" i="6"/>
  <c r="O129" i="6"/>
  <c r="N129" i="6"/>
  <c r="O130" i="6" l="1"/>
  <c r="N130" i="6"/>
  <c r="I132" i="6"/>
  <c r="H132" i="6" s="1"/>
  <c r="O131" i="6"/>
  <c r="N131" i="6"/>
  <c r="O132" i="6" l="1"/>
  <c r="N132" i="6"/>
  <c r="I133" i="6"/>
  <c r="H133" i="6" l="1"/>
  <c r="I134" i="6"/>
  <c r="H134" i="6" l="1"/>
  <c r="I135" i="6"/>
  <c r="H135" i="6" s="1"/>
  <c r="O133" i="6"/>
  <c r="N133" i="6"/>
  <c r="I136" i="6" l="1"/>
  <c r="H136" i="6" s="1"/>
  <c r="O135" i="6"/>
  <c r="N135" i="6"/>
  <c r="O134" i="6"/>
  <c r="N134" i="6"/>
  <c r="O136" i="6" l="1"/>
  <c r="I137" i="6"/>
  <c r="N136" i="6"/>
  <c r="I138" i="6" l="1"/>
  <c r="H137" i="6"/>
  <c r="O137" i="6" l="1"/>
  <c r="N137" i="6"/>
  <c r="H138" i="6"/>
  <c r="I139" i="6"/>
  <c r="H139" i="6" s="1"/>
  <c r="I140" i="6" l="1"/>
  <c r="H140" i="6" s="1"/>
  <c r="O139" i="6"/>
  <c r="N139" i="6"/>
  <c r="O138" i="6"/>
  <c r="N138" i="6"/>
  <c r="O140" i="6" l="1"/>
  <c r="N140" i="6"/>
  <c r="I141" i="6"/>
  <c r="H141" i="6" l="1"/>
  <c r="I142" i="6"/>
  <c r="H142" i="6" l="1"/>
  <c r="I143" i="6"/>
  <c r="H143" i="6" s="1"/>
  <c r="O141" i="6"/>
  <c r="N141" i="6"/>
  <c r="I144" i="6" l="1"/>
  <c r="H144" i="6" s="1"/>
  <c r="O143" i="6"/>
  <c r="N143" i="6"/>
  <c r="O142" i="6"/>
  <c r="N142" i="6"/>
  <c r="O144" i="6" l="1"/>
  <c r="I145" i="6"/>
  <c r="N144" i="6"/>
  <c r="H145" i="6" l="1"/>
  <c r="I146" i="6"/>
  <c r="H146" i="6" l="1"/>
  <c r="I147" i="6"/>
  <c r="H147" i="6" s="1"/>
  <c r="O145" i="6"/>
  <c r="N145" i="6"/>
  <c r="I148" i="6" l="1"/>
  <c r="H148" i="6" s="1"/>
  <c r="O147" i="6"/>
  <c r="N147" i="6"/>
  <c r="O146" i="6"/>
  <c r="N146" i="6"/>
  <c r="O148" i="6" l="1"/>
  <c r="I149" i="6"/>
  <c r="N148" i="6"/>
  <c r="H149" i="6" l="1"/>
  <c r="I150" i="6"/>
  <c r="H150" i="6" l="1"/>
  <c r="I151" i="6"/>
  <c r="H151" i="6" s="1"/>
  <c r="O149" i="6"/>
  <c r="N149" i="6"/>
  <c r="I152" i="6" l="1"/>
  <c r="H152" i="6" s="1"/>
  <c r="O151" i="6"/>
  <c r="N151" i="6"/>
  <c r="O150" i="6"/>
  <c r="N150" i="6"/>
  <c r="O152" i="6" l="1"/>
  <c r="N152" i="6"/>
  <c r="I153" i="6"/>
  <c r="H153" i="6" l="1"/>
  <c r="I154" i="6"/>
  <c r="H154" i="6" l="1"/>
  <c r="I155" i="6"/>
  <c r="O153" i="6"/>
  <c r="N153" i="6"/>
  <c r="H155" i="6" l="1"/>
  <c r="I156" i="6" s="1"/>
  <c r="H156" i="6" s="1"/>
  <c r="O154" i="6"/>
  <c r="N154" i="6"/>
  <c r="O156" i="6" l="1"/>
  <c r="I157" i="6"/>
  <c r="N156" i="6"/>
  <c r="O155" i="6"/>
  <c r="N155" i="6"/>
  <c r="I158" i="6" l="1"/>
  <c r="H157" i="6"/>
  <c r="O157" i="6" l="1"/>
  <c r="N157" i="6"/>
  <c r="H158" i="6"/>
  <c r="I159" i="6"/>
  <c r="O158" i="6" l="1"/>
  <c r="N158" i="6"/>
  <c r="H159" i="6"/>
  <c r="I160" i="6"/>
  <c r="H160" i="6" s="1"/>
  <c r="O159" i="6" l="1"/>
  <c r="N159" i="6"/>
  <c r="O160" i="6"/>
  <c r="N160" i="6"/>
  <c r="I161" i="6"/>
  <c r="I162" i="6" l="1"/>
  <c r="H161" i="6"/>
  <c r="O161" i="6" l="1"/>
  <c r="N161" i="6"/>
  <c r="I163" i="6"/>
  <c r="H162" i="6"/>
  <c r="H163" i="6" l="1"/>
  <c r="I164" i="6"/>
  <c r="H164" i="6" s="1"/>
  <c r="O162" i="6"/>
  <c r="N162" i="6"/>
  <c r="O164" i="6" l="1"/>
  <c r="I165" i="6"/>
  <c r="N164" i="6"/>
  <c r="O163" i="6"/>
  <c r="N163" i="6"/>
  <c r="H165" i="6" l="1"/>
  <c r="I166" i="6"/>
  <c r="H166" i="6" s="1"/>
  <c r="O166" i="6" l="1"/>
  <c r="N166" i="6"/>
  <c r="I167" i="6"/>
  <c r="O165" i="6"/>
  <c r="N165" i="6"/>
  <c r="H167" i="6" l="1"/>
  <c r="I168" i="6" s="1"/>
  <c r="H168" i="6" s="1"/>
  <c r="O168" i="6" l="1"/>
  <c r="I169" i="6"/>
  <c r="N168" i="6"/>
  <c r="O167" i="6"/>
  <c r="N167" i="6"/>
  <c r="H169" i="6" l="1"/>
  <c r="I170" i="6" s="1"/>
  <c r="I171" i="6" l="1"/>
  <c r="H170" i="6"/>
  <c r="O169" i="6"/>
  <c r="N169" i="6"/>
  <c r="O170" i="6" l="1"/>
  <c r="N170" i="6"/>
  <c r="H171" i="6"/>
  <c r="I172" i="6"/>
  <c r="O171" i="6" l="1"/>
  <c r="N171" i="6"/>
  <c r="I173" i="6"/>
  <c r="H172" i="6"/>
  <c r="I174" i="6" l="1"/>
  <c r="H173" i="6"/>
  <c r="O172" i="6"/>
  <c r="N172" i="6"/>
  <c r="O173" i="6" l="1"/>
  <c r="N173" i="6"/>
  <c r="I175" i="6"/>
  <c r="H174" i="6"/>
  <c r="H175" i="6" l="1"/>
  <c r="I176" i="6"/>
  <c r="O174" i="6"/>
  <c r="N174" i="6"/>
  <c r="H176" i="6" l="1"/>
  <c r="I177" i="6"/>
  <c r="O175" i="6"/>
  <c r="N175" i="6"/>
  <c r="I178" i="6" l="1"/>
  <c r="H177" i="6"/>
  <c r="O176" i="6"/>
  <c r="N176" i="6"/>
  <c r="O177" i="6" l="1"/>
  <c r="N177" i="6"/>
  <c r="I179" i="6"/>
  <c r="H178" i="6"/>
  <c r="H179" i="6" l="1"/>
  <c r="I180" i="6"/>
  <c r="H180" i="6" s="1"/>
  <c r="I211" i="6" s="1"/>
  <c r="H211" i="6" s="1"/>
  <c r="O178" i="6"/>
  <c r="N178" i="6"/>
  <c r="O211" i="6" l="1"/>
  <c r="N211" i="6"/>
  <c r="I212" i="6"/>
  <c r="H212" i="6" s="1"/>
  <c r="O212" i="6" s="1"/>
  <c r="O180" i="6"/>
  <c r="N180" i="6"/>
  <c r="O179" i="6"/>
  <c r="N179" i="6"/>
  <c r="I213" i="6"/>
  <c r="H213" i="6" s="1"/>
  <c r="O213" i="6" s="1"/>
  <c r="N212" i="6" l="1"/>
  <c r="I219" i="6"/>
  <c r="H219" i="6" s="1"/>
  <c r="O219" i="6" s="1"/>
  <c r="N213" i="6"/>
  <c r="I220" i="6" l="1"/>
  <c r="H220" i="6" s="1"/>
  <c r="O220" i="6" s="1"/>
  <c r="N219" i="6"/>
  <c r="N220" i="6" l="1"/>
  <c r="I221" i="6"/>
  <c r="H221" i="6" s="1"/>
  <c r="O221" i="6" s="1"/>
  <c r="N221" i="6" l="1"/>
  <c r="I227" i="6"/>
  <c r="H227" i="6" s="1"/>
  <c r="O227" i="6" s="1"/>
  <c r="N227" i="6" l="1"/>
  <c r="I228" i="6"/>
  <c r="H228" i="6" s="1"/>
  <c r="O228" i="6" s="1"/>
  <c r="N228" i="6" l="1"/>
  <c r="I229" i="6"/>
  <c r="H229" i="6" s="1"/>
  <c r="O229" i="6" s="1"/>
  <c r="N229" i="6" l="1"/>
  <c r="I236" i="6"/>
  <c r="H236" i="6" s="1"/>
  <c r="O236" i="6" s="1"/>
  <c r="N236" i="6" l="1"/>
  <c r="I237" i="6"/>
  <c r="H237" i="6" s="1"/>
  <c r="O237" i="6" s="1"/>
  <c r="N237" i="6" l="1"/>
  <c r="I238" i="6"/>
  <c r="H238" i="6" s="1"/>
  <c r="O238" i="6" s="1"/>
  <c r="I242" i="6" l="1"/>
  <c r="H242" i="6" s="1"/>
  <c r="O242" i="6" s="1"/>
  <c r="N238" i="6"/>
  <c r="I243" i="6" l="1"/>
  <c r="H243" i="6" s="1"/>
  <c r="O243" i="6" s="1"/>
  <c r="N242" i="6"/>
  <c r="I253" i="6" l="1"/>
  <c r="H253" i="6" s="1"/>
  <c r="O253" i="6" s="1"/>
  <c r="N243" i="6"/>
  <c r="I254" i="6" l="1"/>
  <c r="H254" i="6" s="1"/>
  <c r="O254" i="6" s="1"/>
  <c r="N253" i="6"/>
  <c r="I255" i="6" l="1"/>
  <c r="H255" i="6" s="1"/>
  <c r="O255" i="6" s="1"/>
  <c r="N254" i="6"/>
  <c r="I256" i="6" l="1"/>
  <c r="I257" i="6" s="1"/>
  <c r="N255" i="6"/>
  <c r="H256" i="6" l="1"/>
  <c r="O256" i="6" s="1"/>
  <c r="I258" i="6"/>
  <c r="H257" i="6"/>
  <c r="O257" i="6" s="1"/>
  <c r="N256" i="6" l="1"/>
  <c r="N257" i="6"/>
  <c r="I259" i="6"/>
  <c r="H258" i="6"/>
  <c r="O258" i="6" s="1"/>
  <c r="N258" i="6" l="1"/>
  <c r="I260" i="6"/>
  <c r="H259" i="6"/>
  <c r="O259" i="6" s="1"/>
  <c r="N259" i="6" l="1"/>
  <c r="I261" i="6"/>
  <c r="H260" i="6"/>
  <c r="O260" i="6" s="1"/>
  <c r="N260" i="6" l="1"/>
  <c r="I262" i="6"/>
  <c r="H261" i="6"/>
  <c r="O261" i="6" s="1"/>
  <c r="N261" i="6" l="1"/>
  <c r="I263" i="6"/>
  <c r="H262" i="6"/>
  <c r="O262" i="6" s="1"/>
  <c r="N262" i="6" l="1"/>
  <c r="I264" i="6"/>
  <c r="H263" i="6"/>
  <c r="O263" i="6" s="1"/>
  <c r="N263" i="6" l="1"/>
  <c r="I265" i="6"/>
  <c r="H264" i="6"/>
  <c r="O264" i="6" s="1"/>
  <c r="N264" i="6" l="1"/>
  <c r="I266" i="6"/>
  <c r="H265" i="6"/>
  <c r="O265" i="6" s="1"/>
  <c r="N265" i="6" l="1"/>
  <c r="I267" i="6"/>
  <c r="H266" i="6"/>
  <c r="O266" i="6" s="1"/>
  <c r="N266" i="6" l="1"/>
  <c r="I268" i="6"/>
  <c r="H267" i="6"/>
  <c r="O267" i="6" s="1"/>
  <c r="N267" i="6" l="1"/>
  <c r="I269" i="6"/>
  <c r="H268" i="6"/>
  <c r="O268" i="6" s="1"/>
  <c r="N268" i="6" l="1"/>
  <c r="I270" i="6"/>
  <c r="H269" i="6"/>
  <c r="O269" i="6" s="1"/>
  <c r="N269" i="6" l="1"/>
  <c r="I271" i="6"/>
  <c r="H270" i="6"/>
  <c r="O270" i="6" s="1"/>
  <c r="N270" i="6" l="1"/>
  <c r="I272" i="6"/>
  <c r="H271" i="6"/>
  <c r="O271" i="6" s="1"/>
  <c r="N271" i="6" l="1"/>
  <c r="I273" i="6"/>
  <c r="H272" i="6"/>
  <c r="O272" i="6" s="1"/>
  <c r="N272" i="6" l="1"/>
  <c r="I274" i="6"/>
  <c r="H273" i="6"/>
  <c r="O273" i="6" s="1"/>
  <c r="N273" i="6" l="1"/>
  <c r="I275" i="6"/>
  <c r="H274" i="6"/>
  <c r="O274" i="6" s="1"/>
  <c r="N274" i="6" l="1"/>
  <c r="I276" i="6"/>
  <c r="H275" i="6"/>
  <c r="O275" i="6" s="1"/>
  <c r="N275" i="6" l="1"/>
  <c r="I277" i="6"/>
  <c r="H276" i="6"/>
  <c r="O276" i="6" s="1"/>
  <c r="N276" i="6" l="1"/>
  <c r="I278" i="6"/>
  <c r="H277" i="6"/>
  <c r="O277" i="6" s="1"/>
  <c r="N277" i="6" l="1"/>
  <c r="I279" i="6"/>
  <c r="H278" i="6"/>
  <c r="O278" i="6" s="1"/>
  <c r="N278" i="6" l="1"/>
  <c r="I280" i="6"/>
  <c r="H279" i="6"/>
  <c r="O279" i="6" s="1"/>
  <c r="N279" i="6" l="1"/>
  <c r="I281" i="6"/>
  <c r="H280" i="6"/>
  <c r="O280" i="6" s="1"/>
  <c r="N280" i="6" l="1"/>
  <c r="I282" i="6"/>
  <c r="H281" i="6"/>
  <c r="O281" i="6" s="1"/>
  <c r="N281" i="6" l="1"/>
  <c r="I283" i="6"/>
  <c r="H283" i="6" s="1"/>
  <c r="O283" i="6" s="1"/>
  <c r="H282" i="6"/>
  <c r="O282" i="6" s="1"/>
  <c r="N282" i="6" l="1"/>
  <c r="N283" i="6"/>
  <c r="I284" i="6"/>
  <c r="I285" i="6" l="1"/>
  <c r="H284" i="6"/>
  <c r="O284" i="6" s="1"/>
  <c r="N284" i="6" l="1"/>
  <c r="I286" i="6"/>
  <c r="H285" i="6"/>
  <c r="O285" i="6" s="1"/>
  <c r="N285" i="6" l="1"/>
  <c r="H286" i="6"/>
  <c r="O286" i="6" s="1"/>
  <c r="L287" i="6"/>
  <c r="N286" i="6" l="1"/>
  <c r="I287" i="6"/>
  <c r="I288" i="6" l="1"/>
  <c r="H287" i="6"/>
  <c r="O287" i="6" s="1"/>
  <c r="N287" i="6" l="1"/>
  <c r="H288" i="6"/>
  <c r="O288" i="6" s="1"/>
  <c r="I289" i="6" l="1"/>
  <c r="H289" i="6" s="1"/>
  <c r="O289" i="6" s="1"/>
  <c r="N288" i="6"/>
  <c r="L288" i="6"/>
  <c r="N289" i="6" l="1"/>
  <c r="I290" i="6"/>
  <c r="L289" i="6"/>
  <c r="I291" i="6" l="1"/>
  <c r="H290" i="6"/>
  <c r="O290" i="6" s="1"/>
  <c r="N290" i="6" l="1"/>
  <c r="L290" i="6"/>
  <c r="H291" i="6"/>
  <c r="O291" i="6" s="1"/>
  <c r="N291" i="6" l="1"/>
  <c r="I292" i="6"/>
  <c r="H292" i="6" s="1"/>
  <c r="O292" i="6" s="1"/>
  <c r="L291" i="6"/>
  <c r="N292" i="6" l="1"/>
  <c r="I293" i="6"/>
  <c r="L292" i="6"/>
  <c r="I294" i="6" l="1"/>
  <c r="H293" i="6"/>
  <c r="O293" i="6" s="1"/>
  <c r="N293" i="6" l="1"/>
  <c r="L293" i="6"/>
  <c r="H294" i="6"/>
  <c r="O294" i="6" s="1"/>
  <c r="I295" i="6" l="1"/>
  <c r="H295" i="6" s="1"/>
  <c r="O295" i="6" s="1"/>
  <c r="N294" i="6"/>
  <c r="I296" i="6" l="1"/>
  <c r="I297" i="6" s="1"/>
  <c r="N295" i="6"/>
  <c r="H296" i="6" l="1"/>
  <c r="O296" i="6" s="1"/>
  <c r="H297" i="6"/>
  <c r="O297" i="6" s="1"/>
  <c r="I298" i="6" l="1"/>
  <c r="H298" i="6" s="1"/>
  <c r="O298" i="6" s="1"/>
  <c r="N296" i="6"/>
  <c r="N297" i="6"/>
  <c r="I299" i="6" l="1"/>
  <c r="H299" i="6" s="1"/>
  <c r="O299" i="6" s="1"/>
  <c r="N298" i="6"/>
  <c r="I300" i="6" l="1"/>
  <c r="H300" i="6" s="1"/>
  <c r="O300" i="6" s="1"/>
  <c r="N299" i="6"/>
  <c r="I301" i="6" l="1"/>
  <c r="H301" i="6" s="1"/>
  <c r="O301" i="6" s="1"/>
  <c r="N300" i="6"/>
  <c r="I302" i="6" l="1"/>
  <c r="H302" i="6" s="1"/>
  <c r="O302" i="6" s="1"/>
  <c r="N301" i="6"/>
  <c r="I303" i="6" l="1"/>
  <c r="H303" i="6" s="1"/>
  <c r="O303" i="6" s="1"/>
  <c r="N302" i="6"/>
  <c r="I304" i="6" l="1"/>
  <c r="H304" i="6" s="1"/>
  <c r="O304" i="6" s="1"/>
  <c r="N303" i="6"/>
  <c r="I305" i="6" l="1"/>
  <c r="I306" i="6" s="1"/>
  <c r="N304" i="6"/>
  <c r="H305" i="6" l="1"/>
  <c r="O305" i="6" s="1"/>
  <c r="H306" i="6"/>
  <c r="O306" i="6" s="1"/>
  <c r="N305" i="6" l="1"/>
  <c r="I307" i="6"/>
  <c r="H307" i="6" s="1"/>
  <c r="O307" i="6" s="1"/>
  <c r="N306" i="6"/>
  <c r="I308" i="6" l="1"/>
  <c r="I309" i="6" s="1"/>
  <c r="N307" i="6"/>
  <c r="H308" i="6" l="1"/>
  <c r="O308" i="6" s="1"/>
  <c r="H309" i="6"/>
  <c r="O309" i="6" s="1"/>
  <c r="I310" i="6" l="1"/>
  <c r="H310" i="6" s="1"/>
  <c r="O310" i="6" s="1"/>
  <c r="N308" i="6"/>
  <c r="N309" i="6"/>
  <c r="N310" i="6" l="1"/>
  <c r="I311" i="6"/>
  <c r="I312" i="6" s="1"/>
  <c r="H311" i="6" l="1"/>
  <c r="O311" i="6" s="1"/>
  <c r="H312" i="6"/>
  <c r="O312" i="6" s="1"/>
  <c r="I313" i="6" l="1"/>
  <c r="H313" i="6" s="1"/>
  <c r="O313" i="6" s="1"/>
  <c r="N311" i="6"/>
  <c r="N312" i="6"/>
  <c r="N313" i="6" l="1"/>
  <c r="I314" i="6"/>
  <c r="H314" i="6" s="1"/>
  <c r="O314" i="6" s="1"/>
  <c r="I315" i="6" l="1"/>
  <c r="H315" i="6" s="1"/>
  <c r="O315" i="6" s="1"/>
  <c r="N314" i="6"/>
  <c r="I316" i="6" l="1"/>
  <c r="H316" i="6" s="1"/>
  <c r="O316" i="6" s="1"/>
  <c r="N315" i="6"/>
  <c r="I317" i="6" l="1"/>
  <c r="I318" i="6" s="1"/>
  <c r="N316" i="6"/>
  <c r="H317" i="6" l="1"/>
  <c r="O317" i="6" s="1"/>
  <c r="H318" i="6"/>
  <c r="O318" i="6" s="1"/>
  <c r="I319" i="6" l="1"/>
  <c r="H319" i="6" s="1"/>
  <c r="O319" i="6" s="1"/>
  <c r="N317" i="6"/>
  <c r="N318" i="6"/>
  <c r="N319" i="6" l="1"/>
  <c r="I320" i="6"/>
  <c r="H320" i="6" s="1"/>
  <c r="O320" i="6" s="1"/>
  <c r="I321" i="6" l="1"/>
  <c r="H321" i="6" s="1"/>
  <c r="O321" i="6" s="1"/>
  <c r="N320" i="6"/>
  <c r="I322" i="6" l="1"/>
  <c r="H322" i="6" s="1"/>
  <c r="O322" i="6" s="1"/>
  <c r="N321" i="6"/>
  <c r="I323" i="6" l="1"/>
  <c r="I324" i="6" s="1"/>
  <c r="N322" i="6"/>
  <c r="H323" i="6" l="1"/>
  <c r="O323" i="6" s="1"/>
  <c r="H324" i="6"/>
  <c r="O324" i="6" s="1"/>
  <c r="I325" i="6" l="1"/>
  <c r="H325" i="6" s="1"/>
  <c r="O325" i="6" s="1"/>
  <c r="N323" i="6"/>
  <c r="N324" i="6"/>
  <c r="I326" i="6" l="1"/>
  <c r="I327" i="6" s="1"/>
  <c r="N325" i="6"/>
  <c r="H326" i="6" l="1"/>
  <c r="O326" i="6" s="1"/>
  <c r="H327" i="6"/>
  <c r="O327" i="6" s="1"/>
  <c r="N326" i="6" l="1"/>
  <c r="N327" i="6"/>
  <c r="I328" i="6"/>
  <c r="H328" i="6" s="1"/>
  <c r="O328" i="6" s="1"/>
  <c r="N328" i="6" l="1"/>
  <c r="I329" i="6"/>
  <c r="I330" i="6" s="1"/>
  <c r="H329" i="6" l="1"/>
  <c r="O329" i="6" s="1"/>
  <c r="H330" i="6"/>
  <c r="O330" i="6" s="1"/>
  <c r="I331" i="6" l="1"/>
  <c r="H331" i="6" s="1"/>
  <c r="O331" i="6" s="1"/>
  <c r="N329" i="6"/>
  <c r="N330" i="6"/>
  <c r="I332" i="6" l="1"/>
  <c r="H332" i="6" s="1"/>
  <c r="O332" i="6" s="1"/>
  <c r="N331" i="6"/>
  <c r="I333" i="6" l="1"/>
  <c r="H333" i="6" s="1"/>
  <c r="O333" i="6" s="1"/>
  <c r="N332" i="6"/>
  <c r="I334" i="6" l="1"/>
  <c r="H334" i="6" s="1"/>
  <c r="O334" i="6" s="1"/>
  <c r="N333" i="6"/>
  <c r="I335" i="6" l="1"/>
  <c r="I336" i="6" s="1"/>
  <c r="N334" i="6"/>
  <c r="H335" i="6" l="1"/>
  <c r="O335" i="6" s="1"/>
  <c r="H336" i="6"/>
  <c r="O336" i="6" s="1"/>
  <c r="I337" i="6" l="1"/>
  <c r="H337" i="6" s="1"/>
  <c r="O337" i="6" s="1"/>
  <c r="N335" i="6"/>
  <c r="N336" i="6"/>
  <c r="I338" i="6" l="1"/>
  <c r="I339" i="6" s="1"/>
  <c r="N337" i="6"/>
  <c r="H338" i="6" l="1"/>
  <c r="O338" i="6" s="1"/>
  <c r="H339" i="6"/>
  <c r="O339" i="6" s="1"/>
  <c r="N338" i="6" l="1"/>
  <c r="N339" i="6"/>
  <c r="I340" i="6"/>
  <c r="H340" i="6" s="1"/>
  <c r="O340" i="6" s="1"/>
  <c r="N340" i="6" l="1"/>
  <c r="I341" i="6"/>
  <c r="H341" i="6" s="1"/>
  <c r="O341" i="6" s="1"/>
  <c r="N341" i="6" l="1"/>
  <c r="I342" i="6"/>
  <c r="H342" i="6" s="1"/>
  <c r="O342" i="6" s="1"/>
  <c r="N342" i="6" l="1"/>
  <c r="I343" i="6"/>
  <c r="H343" i="6" s="1"/>
  <c r="O343" i="6" s="1"/>
  <c r="N343" i="6" l="1"/>
  <c r="I344" i="6"/>
  <c r="H344" i="6" s="1"/>
  <c r="O344" i="6" s="1"/>
  <c r="I345" i="6" l="1"/>
  <c r="H345" i="6" s="1"/>
  <c r="O345" i="6" s="1"/>
  <c r="N344" i="6"/>
  <c r="I346" i="6" l="1"/>
  <c r="H346" i="6" s="1"/>
  <c r="O346" i="6" s="1"/>
  <c r="N345" i="6"/>
  <c r="I347" i="6" l="1"/>
  <c r="H347" i="6" s="1"/>
  <c r="O347" i="6" s="1"/>
  <c r="N346" i="6"/>
  <c r="I348" i="6" l="1"/>
  <c r="H348" i="6" s="1"/>
  <c r="O348" i="6" s="1"/>
  <c r="N347" i="6"/>
  <c r="I349" i="6" l="1"/>
  <c r="H349" i="6" s="1"/>
  <c r="O349" i="6" s="1"/>
  <c r="N348" i="6"/>
  <c r="I350" i="6" l="1"/>
  <c r="I351" i="6" s="1"/>
  <c r="N349" i="6"/>
  <c r="H350" i="6" l="1"/>
  <c r="O350" i="6" s="1"/>
  <c r="H351" i="6"/>
  <c r="O351" i="6" s="1"/>
  <c r="I352" i="6" l="1"/>
  <c r="H352" i="6" s="1"/>
  <c r="O352" i="6" s="1"/>
  <c r="N350" i="6"/>
  <c r="N351" i="6"/>
  <c r="N352" i="6" l="1"/>
  <c r="I353" i="6"/>
  <c r="H353" i="6" s="1"/>
  <c r="O353" i="6" s="1"/>
  <c r="I354" i="6" l="1"/>
  <c r="H354" i="6" s="1"/>
  <c r="O354" i="6" s="1"/>
  <c r="N353" i="6"/>
  <c r="I355" i="6" l="1"/>
  <c r="H355" i="6" s="1"/>
  <c r="O355" i="6" s="1"/>
  <c r="N354" i="6"/>
  <c r="I356" i="6" l="1"/>
  <c r="I357" i="6" s="1"/>
  <c r="N355" i="6"/>
  <c r="H356" i="6" l="1"/>
  <c r="O356" i="6" s="1"/>
  <c r="H357" i="6"/>
  <c r="O357" i="6" s="1"/>
  <c r="I358" i="6" l="1"/>
  <c r="H358" i="6" s="1"/>
  <c r="O358" i="6" s="1"/>
  <c r="N356" i="6"/>
  <c r="N357" i="6"/>
  <c r="I359" i="6" l="1"/>
  <c r="H359" i="6" s="1"/>
  <c r="O359" i="6" s="1"/>
  <c r="N358" i="6"/>
  <c r="I360" i="6" l="1"/>
  <c r="H360" i="6" s="1"/>
  <c r="O360" i="6" s="1"/>
  <c r="N359" i="6"/>
  <c r="I361" i="6" l="1"/>
  <c r="H361" i="6" s="1"/>
  <c r="O361" i="6" s="1"/>
  <c r="N360" i="6"/>
  <c r="N361" i="6" l="1"/>
  <c r="I362" i="6"/>
  <c r="I363" i="6" s="1"/>
  <c r="H362" i="6" l="1"/>
  <c r="O362" i="6" s="1"/>
  <c r="H363" i="6"/>
  <c r="O363" i="6" s="1"/>
  <c r="N362" i="6" l="1"/>
  <c r="I364" i="6"/>
  <c r="H364" i="6" s="1"/>
  <c r="O364" i="6" s="1"/>
  <c r="N363" i="6"/>
  <c r="I365" i="6" l="1"/>
  <c r="H365" i="6" s="1"/>
  <c r="O365" i="6" s="1"/>
  <c r="N364" i="6"/>
  <c r="I366" i="6" l="1"/>
  <c r="H366" i="6" s="1"/>
  <c r="O366" i="6" s="1"/>
  <c r="N365" i="6"/>
  <c r="I367" i="6" l="1"/>
  <c r="H367" i="6" s="1"/>
  <c r="O367" i="6" s="1"/>
  <c r="N366" i="6"/>
  <c r="I368" i="6" l="1"/>
  <c r="H368" i="6" s="1"/>
  <c r="O368" i="6" s="1"/>
  <c r="N367" i="6"/>
  <c r="I369" i="6" l="1"/>
  <c r="H369" i="6" s="1"/>
  <c r="O369" i="6" s="1"/>
  <c r="N368" i="6"/>
  <c r="I370" i="6" l="1"/>
  <c r="H370" i="6" s="1"/>
  <c r="O370" i="6" s="1"/>
  <c r="N369" i="6"/>
  <c r="I371" i="6" l="1"/>
  <c r="H371" i="6" s="1"/>
  <c r="O371" i="6" s="1"/>
  <c r="N370" i="6"/>
  <c r="I372" i="6" l="1"/>
  <c r="H372" i="6" s="1"/>
  <c r="O372" i="6" s="1"/>
  <c r="N371" i="6"/>
  <c r="I373" i="6" l="1"/>
  <c r="H373" i="6" s="1"/>
  <c r="O373" i="6" s="1"/>
  <c r="N372" i="6"/>
  <c r="I374" i="6" l="1"/>
  <c r="H374" i="6" s="1"/>
  <c r="O374" i="6" s="1"/>
  <c r="N373" i="6"/>
  <c r="I375" i="6" l="1"/>
  <c r="H375" i="6" s="1"/>
  <c r="O375" i="6" s="1"/>
  <c r="N374" i="6"/>
  <c r="I376" i="6" l="1"/>
  <c r="H376" i="6" s="1"/>
  <c r="O376" i="6" s="1"/>
  <c r="N375" i="6"/>
  <c r="N376" i="6" l="1"/>
  <c r="I377" i="6"/>
  <c r="I378" i="6" s="1"/>
  <c r="H377" i="6" l="1"/>
  <c r="O377" i="6" s="1"/>
  <c r="H378" i="6"/>
  <c r="O378" i="6" s="1"/>
  <c r="I379" i="6" l="1"/>
  <c r="H379" i="6" s="1"/>
  <c r="O379" i="6" s="1"/>
  <c r="N377" i="6"/>
  <c r="N378" i="6"/>
  <c r="I380" i="6" l="1"/>
  <c r="H380" i="6" s="1"/>
  <c r="O380" i="6" s="1"/>
  <c r="N379" i="6"/>
  <c r="I381" i="6" l="1"/>
  <c r="H381" i="6" s="1"/>
  <c r="O381" i="6" s="1"/>
  <c r="N380" i="6"/>
  <c r="I382" i="6" l="1"/>
  <c r="H382" i="6" s="1"/>
  <c r="O382" i="6" s="1"/>
  <c r="N381" i="6"/>
  <c r="I383" i="6" l="1"/>
  <c r="I384" i="6" s="1"/>
  <c r="N382" i="6"/>
  <c r="H383" i="6" l="1"/>
  <c r="O383" i="6" s="1"/>
  <c r="H384" i="6"/>
  <c r="O384" i="6" s="1"/>
  <c r="N383" i="6" l="1"/>
  <c r="I385" i="6"/>
  <c r="H385" i="6" s="1"/>
  <c r="O385" i="6" s="1"/>
  <c r="N384" i="6"/>
  <c r="I386" i="6" l="1"/>
  <c r="I387" i="6" s="1"/>
  <c r="H387" i="6" s="1"/>
  <c r="O387" i="6" s="1"/>
  <c r="N385" i="6"/>
  <c r="H386" i="6" l="1"/>
  <c r="O386" i="6" s="1"/>
  <c r="N387" i="6"/>
  <c r="N386" i="6" l="1"/>
  <c r="H81" i="4"/>
  <c r="O81" i="4" s="1"/>
  <c r="H80" i="4"/>
  <c r="O80" i="4" s="1"/>
  <c r="I82" i="4" l="1"/>
  <c r="I83" i="4" s="1"/>
  <c r="I84" i="4" s="1"/>
  <c r="I85" i="4" s="1"/>
  <c r="H85" i="4" s="1"/>
  <c r="O85" i="4" s="1"/>
  <c r="N80" i="4"/>
  <c r="N81" i="4"/>
  <c r="H82" i="4" l="1"/>
  <c r="O82" i="4" s="1"/>
  <c r="H83" i="4"/>
  <c r="O83" i="4" s="1"/>
  <c r="N85" i="4"/>
  <c r="H84" i="4"/>
  <c r="O84" i="4" s="1"/>
  <c r="N82" i="4" l="1"/>
  <c r="N83" i="4"/>
  <c r="N84" i="4"/>
</calcChain>
</file>

<file path=xl/sharedStrings.xml><?xml version="1.0" encoding="utf-8"?>
<sst xmlns="http://schemas.openxmlformats.org/spreadsheetml/2006/main" count="4522" uniqueCount="772">
  <si>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</si>
  <si>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</si>
  <si>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</si>
  <si>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</si>
  <si>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</si>
  <si>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</si>
  <si>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</si>
  <si>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</si>
  <si>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</si>
  <si>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</si>
  <si>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</si>
  <si>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</si>
  <si>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</si>
  <si>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</si>
  <si>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</si>
  <si>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</si>
  <si>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</si>
  <si>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</si>
  <si>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</si>
  <si>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</si>
  <si>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</si>
  <si>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</si>
  <si>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</si>
  <si>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</si>
  <si>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</si>
  <si>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</si>
  <si>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</si>
  <si>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</si>
  <si>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</si>
  <si>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</si>
  <si>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</si>
  <si>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</si>
  <si>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</si>
  <si>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</si>
  <si>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</si>
  <si>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</si>
  <si>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</si>
  <si>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</si>
  <si>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</si>
  <si>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</si>
  <si>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</si>
  <si>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</si>
  <si>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</si>
  <si>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</si>
  <si>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</si>
  <si>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</si>
  <si>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</si>
  <si>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</si>
  <si>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</si>
  <si>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</si>
  <si>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</si>
  <si>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</si>
  <si>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</si>
  <si>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</si>
  <si>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</si>
  <si>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</si>
  <si>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</si>
  <si>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</si>
  <si>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</si>
  <si>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</si>
  <si>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</si>
  <si>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</si>
  <si>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</si>
  <si>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</si>
  <si>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</si>
  <si>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</si>
  <si>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</si>
  <si>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</si>
  <si>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</si>
  <si>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</si>
  <si>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</si>
  <si>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</si>
  <si>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</si>
  <si>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</si>
  <si>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</si>
  <si>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</si>
  <si>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</si>
  <si>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</si>
  <si>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</si>
  <si>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</si>
  <si>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</si>
  <si>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</si>
  <si>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</si>
  <si>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</si>
  <si>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</si>
  <si>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</si>
  <si>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</si>
  <si>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</si>
  <si>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</si>
  <si>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</si>
  <si>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</si>
  <si>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</si>
  <si>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</si>
  <si>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</si>
  <si>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</si>
  <si>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</si>
  <si>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</si>
  <si>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</si>
  <si>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</si>
  <si>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</si>
  <si>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</si>
  <si>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</si>
  <si>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</si>
  <si>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</si>
  <si>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</si>
  <si>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</si>
  <si>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</si>
  <si>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</si>
  <si>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</si>
  <si>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</si>
  <si>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</si>
  <si>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</si>
  <si>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</si>
  <si>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</si>
  <si>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</si>
  <si>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</si>
  <si>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</si>
  <si>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</si>
  <si>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</si>
  <si>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</si>
  <si>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</si>
  <si>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</si>
  <si>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</si>
  <si>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</si>
  <si>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</si>
  <si>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</si>
  <si>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</si>
  <si>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</si>
  <si>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</si>
  <si>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</si>
  <si>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</si>
  <si>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</si>
  <si>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</si>
  <si>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</si>
  <si>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</si>
  <si>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</si>
  <si>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</si>
  <si>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</si>
  <si>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</si>
  <si>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</si>
  <si>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</si>
  <si>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</si>
  <si>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</si>
  <si>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</si>
  <si>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</si>
  <si>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</si>
  <si>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</si>
  <si>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</si>
  <si>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</si>
  <si>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</si>
  <si>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</si>
  <si>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</si>
  <si>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</si>
  <si>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</si>
  <si>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</si>
  <si>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</si>
  <si>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</si>
  <si>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</si>
  <si>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</si>
  <si>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</si>
  <si>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</si>
  <si>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</si>
  <si>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</si>
  <si>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</si>
  <si>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</si>
  <si>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</si>
  <si>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</si>
  <si>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</si>
  <si>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</si>
  <si>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</si>
  <si>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</si>
  <si>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</si>
  <si>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</si>
  <si>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</si>
  <si>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</si>
  <si>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</si>
  <si>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</si>
  <si>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</si>
  <si>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</si>
  <si>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</si>
  <si>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</si>
  <si>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</si>
  <si>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</si>
  <si>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</si>
  <si>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</si>
  <si>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</si>
  <si>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</si>
  <si>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</si>
  <si>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</si>
  <si>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</si>
  <si>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</si>
  <si>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</si>
  <si>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</si>
  <si>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</si>
  <si>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</si>
  <si>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</si>
  <si>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</si>
  <si>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</si>
  <si>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</si>
  <si>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</si>
  <si>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</si>
  <si>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</si>
  <si>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</si>
  <si>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</si>
  <si>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</si>
  <si>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</si>
  <si>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</si>
  <si>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</si>
  <si>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</si>
  <si>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</si>
  <si>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</si>
  <si>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</si>
  <si>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</si>
  <si>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</si>
  <si>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</si>
  <si>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</si>
  <si>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</si>
  <si>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</si>
  <si>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</si>
  <si>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</si>
  <si>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</si>
  <si>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</si>
  <si>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</si>
  <si>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</si>
  <si>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</si>
  <si>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</si>
  <si>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</si>
  <si>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</si>
  <si>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</si>
  <si>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</si>
  <si>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</si>
  <si>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</si>
  <si>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</si>
  <si>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</si>
  <si>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</si>
  <si>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</si>
  <si>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</si>
  <si>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</si>
  <si>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</si>
  <si>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</si>
  <si>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</si>
  <si>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</si>
  <si>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</si>
  <si>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</si>
  <si>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</si>
  <si>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</si>
  <si>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</si>
  <si>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</si>
  <si>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</si>
  <si>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</si>
  <si>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</si>
  <si>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</si>
  <si>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</si>
  <si>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</si>
  <si>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</si>
  <si>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</si>
  <si>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</si>
  <si>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</si>
  <si>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</si>
  <si>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</si>
  <si>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</si>
  <si>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</si>
  <si>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</si>
  <si>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</si>
  <si>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</si>
  <si>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</si>
  <si>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</si>
  <si>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</si>
  <si>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</si>
  <si>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</si>
  <si>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</si>
  <si>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</si>
  <si>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</si>
  <si>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</si>
  <si>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</si>
  <si>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</si>
  <si>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</si>
  <si>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</si>
  <si>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</si>
  <si>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</si>
  <si>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</si>
  <si>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</si>
  <si>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</si>
  <si>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</si>
  <si>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</si>
  <si>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</si>
  <si>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</si>
  <si>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</si>
  <si>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</si>
  <si>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</si>
  <si>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</si>
  <si>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</si>
  <si>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</si>
  <si>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</si>
  <si>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</si>
  <si>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</si>
  <si>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</si>
  <si>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</si>
  <si>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</si>
  <si>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</si>
  <si>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</si>
  <si>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</si>
  <si>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</si>
  <si>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</si>
  <si>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</si>
  <si>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</si>
  <si>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</si>
  <si>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</si>
  <si>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</si>
  <si>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</si>
  <si>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</si>
  <si>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</si>
  <si>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</si>
  <si>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</si>
  <si>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</si>
  <si>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</si>
  <si>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</si>
  <si>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</si>
  <si>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</si>
  <si>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</si>
  <si>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</si>
  <si>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</si>
  <si>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</si>
  <si>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</si>
  <si>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</si>
  <si>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</si>
  <si>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</si>
  <si>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</si>
  <si>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</si>
  <si>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</si>
  <si>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</si>
  <si>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</si>
  <si>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</si>
  <si>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</si>
  <si>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</si>
  <si>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</si>
  <si>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</si>
  <si>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</si>
  <si>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</si>
  <si>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</si>
  <si>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</si>
  <si>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</si>
  <si>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</si>
  <si>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</si>
  <si>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</si>
  <si>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</si>
  <si>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</si>
  <si>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</si>
  <si>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</si>
  <si>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</si>
  <si>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</si>
  <si>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</si>
  <si>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</si>
  <si>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</si>
  <si>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</si>
  <si>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</si>
  <si>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</si>
  <si>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</si>
  <si>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</si>
  <si>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</si>
  <si>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</si>
  <si>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</si>
  <si>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</si>
  <si>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</si>
  <si>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</si>
  <si>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</si>
  <si>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</si>
  <si>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</si>
  <si>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</si>
  <si>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</si>
  <si>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</si>
  <si>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</si>
  <si>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</si>
  <si>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</si>
  <si>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</si>
  <si>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</si>
  <si>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</si>
  <si>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</si>
  <si>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</si>
  <si>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</si>
  <si>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</si>
  <si>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</si>
  <si>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</si>
  <si>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</si>
  <si>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</si>
  <si>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</si>
  <si>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</si>
  <si>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</si>
  <si>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</si>
  <si>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</si>
  <si>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</si>
  <si>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</si>
  <si>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</si>
  <si>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</si>
  <si>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</si>
  <si>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</si>
  <si>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</si>
  <si>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</si>
  <si>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</si>
  <si>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</si>
  <si>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</si>
  <si>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</si>
  <si>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</si>
  <si>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</si>
  <si>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</si>
  <si>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</si>
  <si>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</si>
  <si>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</si>
  <si>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</si>
  <si>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</si>
  <si>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</si>
  <si>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</si>
  <si>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</si>
  <si>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</si>
  <si>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</si>
  <si>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</si>
  <si>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</si>
  <si>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</si>
  <si>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</si>
  <si>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</si>
  <si>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</si>
  <si>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</si>
  <si>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</si>
  <si>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</si>
  <si>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</si>
  <si>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</si>
  <si>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</si>
  <si>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</si>
  <si>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</si>
  <si>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</si>
  <si>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</si>
  <si>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</si>
  <si>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</si>
  <si>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</si>
  <si>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</si>
  <si>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</si>
  <si>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</si>
  <si>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</si>
  <si>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</si>
  <si>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</si>
  <si>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</si>
  <si>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</si>
  <si>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</si>
  <si>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</si>
  <si>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</si>
  <si>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</si>
  <si>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</si>
  <si>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</si>
  <si>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</si>
  <si>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</si>
  <si>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</si>
  <si>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</si>
  <si>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</si>
  <si>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</si>
  <si>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</si>
  <si>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</si>
  <si>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</si>
  <si>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</si>
  <si>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</si>
  <si>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</si>
  <si>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</si>
  <si>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</si>
  <si>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</si>
  <si>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</si>
  <si>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</si>
  <si>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</si>
  <si>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</si>
  <si>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</si>
  <si>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</si>
  <si>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</si>
  <si>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</si>
  <si>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</si>
  <si>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</si>
  <si>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</si>
  <si>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</si>
  <si>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</si>
  <si>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</si>
  <si>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</si>
  <si>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</si>
  <si>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</si>
  <si>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</si>
  <si>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</si>
  <si>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</si>
  <si>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</si>
  <si>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</si>
  <si>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</si>
  <si>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</si>
  <si>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</si>
  <si>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</si>
  <si>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</si>
  <si>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</si>
  <si>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</si>
  <si>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</si>
  <si>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</si>
  <si>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</si>
  <si>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</si>
  <si>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</si>
  <si>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</si>
  <si>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</si>
  <si>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</si>
  <si>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</si>
  <si>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</si>
  <si>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</si>
  <si>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</si>
  <si>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</si>
  <si>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</si>
  <si>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</si>
  <si>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</si>
  <si>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</si>
  <si>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</si>
  <si>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</si>
  <si>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</si>
  <si>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</si>
  <si>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</si>
  <si>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</si>
  <si>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</si>
  <si>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</si>
  <si>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</si>
  <si>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</si>
  <si>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</si>
  <si>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</si>
  <si>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</si>
  <si>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</si>
  <si>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</si>
  <si>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</si>
  <si>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</si>
  <si>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</si>
  <si>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</si>
  <si>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</si>
  <si>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</si>
  <si>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</si>
  <si>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</si>
  <si>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</si>
  <si>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</si>
  <si>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</si>
  <si>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</si>
  <si>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</si>
  <si>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</si>
  <si>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</si>
  <si>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</si>
  <si>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</si>
  <si>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</si>
  <si>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</si>
  <si>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</si>
  <si>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</si>
  <si>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</si>
  <si>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</si>
  <si>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</si>
  <si>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</si>
  <si>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</si>
  <si>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</si>
  <si>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</si>
  <si>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</si>
  <si>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</si>
  <si>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</si>
  <si>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</si>
  <si>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</si>
  <si>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</si>
  <si>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</si>
  <si>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</si>
  <si>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</si>
  <si>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</si>
  <si>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</si>
  <si>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</si>
  <si>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</si>
  <si>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</si>
  <si>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</si>
  <si>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</si>
  <si>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</si>
  <si>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</si>
  <si>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</si>
  <si>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</si>
  <si>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</si>
  <si>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</si>
  <si>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</si>
  <si>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</si>
  <si>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</si>
  <si>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</si>
  <si>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</si>
  <si>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</si>
  <si>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</si>
  <si>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</si>
  <si>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</si>
  <si>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</si>
  <si>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</si>
  <si>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</si>
  <si>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</si>
  <si>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</si>
  <si>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</si>
  <si>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</si>
  <si>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</si>
  <si>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</si>
  <si>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</si>
  <si>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</si>
  <si>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</si>
  <si>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</si>
  <si>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</si>
  <si>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</si>
  <si>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</si>
  <si>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</si>
  <si>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</si>
  <si>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</si>
  <si>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</si>
  <si>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</si>
  <si>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</si>
  <si>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</si>
  <si>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</si>
  <si>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</si>
  <si>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  <phoneticPr fontId="1" type="noConversion"/>
  </si>
  <si>
    <t>create</t>
    <phoneticPr fontId="1" type="noConversion"/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</si>
  <si>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</si>
  <si>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</si>
  <si>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</si>
  <si>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</si>
  <si>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</si>
  <si>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</si>
  <si>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</si>
  <si>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</si>
  <si>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</si>
  <si>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</si>
  <si>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</si>
  <si>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</si>
  <si>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</si>
  <si>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</si>
  <si>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</si>
  <si>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</si>
  <si>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</si>
  <si>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</si>
  <si>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</si>
  <si>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</si>
  <si>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</si>
  <si>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</si>
  <si>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</si>
  <si>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</si>
  <si>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</si>
  <si>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</si>
  <si>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</si>
  <si>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</si>
  <si>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</si>
  <si>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</si>
  <si>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</si>
  <si>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</si>
  <si>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</si>
  <si>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</si>
  <si>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</si>
  <si>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</si>
  <si>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</si>
  <si>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</si>
  <si>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</si>
  <si>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</si>
  <si>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</si>
  <si>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</si>
  <si>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</si>
  <si>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</si>
  <si>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</si>
  <si>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</si>
  <si>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</si>
  <si>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</si>
  <si>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</si>
  <si>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</si>
  <si>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</si>
  <si>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</si>
  <si>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</si>
  <si>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</si>
  <si>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</si>
  <si>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</si>
  <si>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</si>
  <si>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</si>
  <si>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</si>
  <si>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</si>
  <si>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</si>
  <si>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</si>
  <si>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</si>
  <si>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</si>
  <si>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</si>
  <si>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</si>
  <si>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</si>
  <si>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</si>
  <si>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</si>
  <si>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</si>
  <si>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</si>
  <si>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</si>
  <si>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</si>
  <si>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</si>
  <si>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</si>
  <si>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</si>
  <si>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</si>
  <si>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</si>
  <si>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</si>
  <si>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</si>
  <si>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</si>
  <si>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</si>
  <si>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</si>
  <si>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</si>
  <si>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</si>
  <si>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</si>
  <si>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</si>
  <si>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</si>
  <si>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</si>
  <si>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</si>
  <si>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</si>
  <si>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</si>
  <si>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</si>
  <si>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</si>
  <si>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</si>
  <si>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</si>
  <si>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</si>
  <si>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</si>
  <si>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</si>
  <si>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</si>
  <si>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</si>
  <si>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</si>
  <si>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</si>
  <si>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</si>
  <si>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</si>
  <si>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</si>
  <si>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</si>
  <si>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</si>
  <si>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</si>
  <si>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</si>
  <si>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</si>
  <si>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</si>
  <si>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</si>
  <si>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</si>
  <si>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</si>
  <si>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</si>
  <si>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</si>
  <si>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</si>
  <si>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</si>
  <si>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</si>
  <si>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</si>
  <si>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</si>
  <si>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</si>
  <si>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</si>
  <si>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</si>
  <si>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</si>
  <si>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</si>
  <si>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</si>
  <si>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</si>
  <si>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</si>
  <si>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</si>
  <si>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</si>
  <si>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</si>
  <si>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</si>
  <si>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</si>
  <si>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</si>
  <si>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</si>
  <si>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</si>
  <si>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</si>
  <si>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</si>
  <si>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</si>
  <si>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</si>
  <si>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</si>
  <si>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</si>
  <si>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</si>
  <si>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</si>
  <si>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</si>
  <si>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</si>
  <si>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</si>
  <si>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</si>
  <si>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</si>
  <si>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</si>
  <si>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</si>
  <si>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</si>
  <si>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</si>
  <si>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</si>
  <si>
    <t>MovieClip</t>
    <phoneticPr fontId="1" type="noConversion"/>
  </si>
  <si>
    <t>BulletTower71_mc</t>
    <phoneticPr fontId="1" type="noConversion"/>
  </si>
  <si>
    <t>TowerBlockBone</t>
  </si>
  <si>
    <t>memisobj</t>
    <phoneticPr fontId="1" type="noConversion"/>
  </si>
  <si>
    <t>n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</si>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</sst>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center"/>
    </xf>
    <xf numFmtId="0" fontId="2" fillId="11" borderId="1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84"/>
  <sheetViews>
    <sheetView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O3" sqref="O3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20.33203125" customWidth="1"/>
    <col min="15" max="15" width="32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769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/>
      <c r="B2" s="21" t="s">
        <v>740</v>
      </c>
      <c r="C2" s="1">
        <f t="shared" ref="C2:C23" ca="1" si="0">indent(B2)</f>
        <v>0</v>
      </c>
      <c r="D2" s="1" t="s">
        <v>7</v>
      </c>
      <c r="E2" s="11" t="s">
        <v>126</v>
      </c>
      <c r="F2" s="11"/>
      <c r="G2" s="30" t="s">
        <v>587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>B2</f>
        <v>UnitBase_mc</v>
      </c>
      <c r="L2" s="1"/>
      <c r="M2" s="1"/>
      <c r="N2" s="14" t="str">
        <f t="shared" ref="N2:N23" ca="1" si="3">IF(C2&gt;0,G2 &amp; " * "&amp;H2 &amp;";","")</f>
        <v/>
      </c>
      <c r="O2" s="14" t="str">
        <f t="shared" ref="O2:O22" ca="1" si="4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UnitBase_mc::UnitBase_mc:MovieClip("unit/","UnitBase_mc","UnitBase_mc"{)</v>
      </c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3" t="s">
        <v>725</v>
      </c>
      <c r="C3" s="1">
        <f t="shared" ca="1" si="0"/>
        <v>1</v>
      </c>
      <c r="D3" s="1" t="s">
        <v>7</v>
      </c>
      <c r="E3" s="11" t="s">
        <v>126</v>
      </c>
      <c r="F3" s="11"/>
      <c r="G3" s="30" t="s">
        <v>587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ref="K3:K23" si="5">B3</f>
        <v>levinDeath</v>
      </c>
      <c r="L3" s="1" t="str">
        <f>B3</f>
        <v>levinDeath</v>
      </c>
      <c r="M3" s="1"/>
      <c r="N3" s="14" t="str">
        <f t="shared" ca="1" si="3"/>
        <v>MovieClip * levinDeath;</v>
      </c>
      <c r="O3" s="14" t="str">
        <f t="shared" ca="1" si="4"/>
        <v>levinDeath= this-&gt;createMovieClip("levinDeath","unit/","levinDeath","levinDeath");</v>
      </c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3" t="s">
        <v>728</v>
      </c>
      <c r="C4" s="1">
        <f t="shared" ref="C4:C22" ca="1" si="6">indent(B4)</f>
        <v>1</v>
      </c>
      <c r="D4" s="1" t="s">
        <v>7</v>
      </c>
      <c r="E4" s="11" t="s">
        <v>126</v>
      </c>
      <c r="F4" s="11"/>
      <c r="G4" s="30" t="s">
        <v>587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 t="str">
        <f t="shared" ref="L4:L22" si="10">B4</f>
        <v>stoneDeath</v>
      </c>
      <c r="M4" s="1"/>
      <c r="N4" s="14" t="str">
        <f t="shared" ref="N4:N22" ca="1" si="11">IF(C4&gt;0,G4 &amp; " * "&amp;H4 &amp;";","")</f>
        <v>MovieClip * stoneDeath;</v>
      </c>
      <c r="O4" s="14" t="str">
        <f t="shared" ca="1" si="4"/>
        <v>stoneDeath= this-&gt;createMovieClip("stoneDeath","unit/","stoneDeath","stoneDeath");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3" t="s">
        <v>727</v>
      </c>
      <c r="C5" s="1">
        <f t="shared" ca="1" si="6"/>
        <v>1</v>
      </c>
      <c r="D5" s="1" t="s">
        <v>7</v>
      </c>
      <c r="E5" s="11" t="s">
        <v>126</v>
      </c>
      <c r="F5" s="11"/>
      <c r="G5" s="30" t="s">
        <v>587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 t="str">
        <f t="shared" si="10"/>
        <v>iceDeath</v>
      </c>
      <c r="M5" s="1"/>
      <c r="N5" s="14" t="str">
        <f t="shared" ca="1" si="11"/>
        <v>MovieClip * iceDeath;</v>
      </c>
      <c r="O5" s="14" t="str">
        <f t="shared" ca="1" si="4"/>
        <v>iceDeath= this-&gt;createMovieClip("iceDeath","unit/","iceDeath","iceDeath");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3" t="s">
        <v>726</v>
      </c>
      <c r="C6" s="1">
        <f t="shared" ca="1" si="6"/>
        <v>1</v>
      </c>
      <c r="D6" s="1" t="s">
        <v>7</v>
      </c>
      <c r="E6" s="11" t="s">
        <v>126</v>
      </c>
      <c r="F6" s="11"/>
      <c r="G6" s="30" t="s">
        <v>587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 t="str">
        <f t="shared" si="10"/>
        <v>buffHP</v>
      </c>
      <c r="M6" s="1"/>
      <c r="N6" s="14" t="str">
        <f t="shared" ca="1" si="11"/>
        <v>MovieClip * buffHP;</v>
      </c>
      <c r="O6" s="14" t="str">
        <f t="shared" ca="1" si="4"/>
        <v>buffHP= this-&gt;createMovieClip("buffHP","unit/","buffHP","buffHP");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3" t="s">
        <v>729</v>
      </c>
      <c r="C7" s="1">
        <f t="shared" ca="1" si="6"/>
        <v>1</v>
      </c>
      <c r="D7" s="1" t="s">
        <v>7</v>
      </c>
      <c r="E7" s="11" t="s">
        <v>126</v>
      </c>
      <c r="F7" s="11"/>
      <c r="G7" s="30" t="s">
        <v>587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 t="str">
        <f t="shared" si="10"/>
        <v>airShock</v>
      </c>
      <c r="M7" s="1"/>
      <c r="N7" s="14" t="str">
        <f t="shared" ca="1" si="11"/>
        <v>MovieClip * airShock;</v>
      </c>
      <c r="O7" s="14" t="str">
        <f t="shared" ca="1" si="4"/>
        <v>airShock= this-&gt;createMovieClip("airShock","unit/","airShock","airShock");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3" t="s">
        <v>730</v>
      </c>
      <c r="C8" s="1">
        <f t="shared" ca="1" si="6"/>
        <v>1</v>
      </c>
      <c r="D8" s="1" t="s">
        <v>7</v>
      </c>
      <c r="E8" s="11" t="s">
        <v>126</v>
      </c>
      <c r="F8" s="11"/>
      <c r="G8" s="30" t="s">
        <v>587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 t="str">
        <f t="shared" si="10"/>
        <v>buffSpeed</v>
      </c>
      <c r="M8" s="1"/>
      <c r="N8" s="14" t="str">
        <f t="shared" ca="1" si="11"/>
        <v>MovieClip * buffSpeed;</v>
      </c>
      <c r="O8" s="14" t="str">
        <f t="shared" ca="1" si="4"/>
        <v>buffSpeed= this-&gt;createMovieClip("buffSpeed","unit/","buffSpeed","buffSpeed");</v>
      </c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3" t="s">
        <v>21</v>
      </c>
      <c r="C9" s="1">
        <f t="shared" ca="1" si="6"/>
        <v>1</v>
      </c>
      <c r="D9" s="1" t="s">
        <v>7</v>
      </c>
      <c r="E9" s="11" t="s">
        <v>126</v>
      </c>
      <c r="F9" s="11"/>
      <c r="G9" s="30" t="s">
        <v>587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 t="str">
        <f t="shared" si="10"/>
        <v>dust1</v>
      </c>
      <c r="M9" s="1"/>
      <c r="N9" s="14" t="str">
        <f t="shared" ca="1" si="11"/>
        <v>MovieClip * dust1;</v>
      </c>
      <c r="O9" s="14" t="str">
        <f t="shared" ca="1" si="4"/>
        <v>dust1= this-&gt;createMovieClip("dust1","unit/","dust1","dust1");</v>
      </c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3" t="s">
        <v>22</v>
      </c>
      <c r="C10" s="1">
        <f t="shared" ca="1" si="6"/>
        <v>1</v>
      </c>
      <c r="D10" s="1" t="s">
        <v>7</v>
      </c>
      <c r="E10" s="11" t="s">
        <v>126</v>
      </c>
      <c r="F10" s="11"/>
      <c r="G10" s="30" t="s">
        <v>587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 t="str">
        <f t="shared" si="10"/>
        <v>dust2</v>
      </c>
      <c r="M10" s="1"/>
      <c r="N10" s="14" t="str">
        <f t="shared" ca="1" si="11"/>
        <v>MovieClip * dust2;</v>
      </c>
      <c r="O10" s="14" t="str">
        <f t="shared" ca="1" si="4"/>
        <v>dust2= this-&gt;createMovieClip("dust2","unit/","dust2","dust2");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3" t="s">
        <v>23</v>
      </c>
      <c r="C11" s="1">
        <f t="shared" ca="1" si="6"/>
        <v>1</v>
      </c>
      <c r="D11" s="1" t="s">
        <v>7</v>
      </c>
      <c r="E11" s="11" t="s">
        <v>126</v>
      </c>
      <c r="F11" s="11"/>
      <c r="G11" s="30" t="s">
        <v>587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 t="str">
        <f t="shared" si="10"/>
        <v>dust3</v>
      </c>
      <c r="M11" s="1"/>
      <c r="N11" s="14" t="str">
        <f t="shared" ca="1" si="11"/>
        <v>MovieClip * dust3;</v>
      </c>
      <c r="O11" s="14" t="str">
        <f t="shared" ca="1" si="4"/>
        <v>dust3= this-&gt;createMovieClip("dust3","unit/","dust3","dust3");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3" t="s">
        <v>731</v>
      </c>
      <c r="C12" s="1">
        <f t="shared" ca="1" si="6"/>
        <v>1</v>
      </c>
      <c r="D12" s="1" t="s">
        <v>7</v>
      </c>
      <c r="E12" s="11" t="s">
        <v>126</v>
      </c>
      <c r="F12" s="11"/>
      <c r="G12" s="30" t="s">
        <v>587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 t="str">
        <f t="shared" si="10"/>
        <v>fireAttack</v>
      </c>
      <c r="M12" s="1"/>
      <c r="N12" s="14" t="str">
        <f t="shared" ca="1" si="11"/>
        <v>MovieClip * fireAttack;</v>
      </c>
      <c r="O12" s="14" t="str">
        <f t="shared" ca="1" si="4"/>
        <v>fireAttack= this-&gt;createMovieClip("fireAttack","unit/","fireAttack","fireAttack");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3" t="s">
        <v>732</v>
      </c>
      <c r="C13" s="1">
        <f t="shared" ca="1" si="6"/>
        <v>1</v>
      </c>
      <c r="D13" s="1" t="s">
        <v>7</v>
      </c>
      <c r="E13" s="11" t="s">
        <v>126</v>
      </c>
      <c r="F13" s="11"/>
      <c r="G13" s="30" t="s">
        <v>587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 t="str">
        <f t="shared" si="10"/>
        <v>iceAttack</v>
      </c>
      <c r="M13" s="1"/>
      <c r="N13" s="14" t="str">
        <f t="shared" ca="1" si="11"/>
        <v>MovieClip * iceAttack;</v>
      </c>
      <c r="O13" s="14" t="str">
        <f t="shared" ca="1" si="4"/>
        <v>iceAttack= this-&gt;createMovieClip("iceAttack","unit/","iceAttack","iceAttack");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3" t="s">
        <v>733</v>
      </c>
      <c r="C14" s="1">
        <f t="shared" ca="1" si="6"/>
        <v>1</v>
      </c>
      <c r="D14" s="1" t="s">
        <v>7</v>
      </c>
      <c r="E14" s="11" t="s">
        <v>126</v>
      </c>
      <c r="F14" s="11"/>
      <c r="G14" s="30" t="s">
        <v>587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 t="str">
        <f t="shared" si="10"/>
        <v>levinAttack</v>
      </c>
      <c r="M14" s="1"/>
      <c r="N14" s="14" t="str">
        <f t="shared" ca="1" si="11"/>
        <v>MovieClip * levinAttack;</v>
      </c>
      <c r="O14" s="14" t="str">
        <f t="shared" ca="1" si="4"/>
        <v>levinAttack= this-&gt;createMovieClip("levinAttack","unit/","levinAttack","levinAttack");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3" t="s">
        <v>734</v>
      </c>
      <c r="C15" s="1">
        <f t="shared" ca="1" si="6"/>
        <v>1</v>
      </c>
      <c r="D15" s="1" t="s">
        <v>7</v>
      </c>
      <c r="E15" s="11" t="s">
        <v>126</v>
      </c>
      <c r="F15" s="11"/>
      <c r="G15" s="30" t="s">
        <v>587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 t="str">
        <f t="shared" si="10"/>
        <v>iceFreez</v>
      </c>
      <c r="M15" s="1"/>
      <c r="N15" s="14" t="str">
        <f t="shared" ca="1" si="11"/>
        <v>MovieClip * iceFreez;</v>
      </c>
      <c r="O15" s="14" t="str">
        <f t="shared" ca="1" si="4"/>
        <v>iceFreez= this-&gt;createMovieClip("iceFreez","unit/","iceFreez","iceFreez");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3" t="s">
        <v>735</v>
      </c>
      <c r="C16" s="1">
        <f t="shared" ca="1" si="6"/>
        <v>1</v>
      </c>
      <c r="D16" s="1" t="s">
        <v>7</v>
      </c>
      <c r="E16" s="11" t="s">
        <v>126</v>
      </c>
      <c r="F16" s="11"/>
      <c r="G16" s="30" t="s">
        <v>587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 t="str">
        <f t="shared" si="10"/>
        <v>fireEffect</v>
      </c>
      <c r="M16" s="1"/>
      <c r="N16" s="14" t="str">
        <f t="shared" ca="1" si="11"/>
        <v>MovieClip * fireEffect;</v>
      </c>
      <c r="O16" s="14" t="str">
        <f t="shared" ca="1" si="4"/>
        <v>fireEffect= this-&gt;createMovieClip("fireEffect","unit/","fireEffect","fireEffect");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3" t="s">
        <v>736</v>
      </c>
      <c r="C17" s="1">
        <f t="shared" ca="1" si="6"/>
        <v>1</v>
      </c>
      <c r="D17" s="1" t="s">
        <v>7</v>
      </c>
      <c r="E17" s="11" t="s">
        <v>126</v>
      </c>
      <c r="F17" s="11"/>
      <c r="G17" s="30" t="s">
        <v>587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 t="str">
        <f t="shared" si="10"/>
        <v>iceEffect</v>
      </c>
      <c r="M17" s="1"/>
      <c r="N17" s="14" t="str">
        <f t="shared" ca="1" si="11"/>
        <v>MovieClip * iceEffect;</v>
      </c>
      <c r="O17" s="14" t="str">
        <f t="shared" ca="1" si="4"/>
        <v>iceEffect= this-&gt;createMovieClip("iceEffect","unit/","iceEffect","iceEffect");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3" t="s">
        <v>737</v>
      </c>
      <c r="C18" s="1">
        <f t="shared" ca="1" si="6"/>
        <v>1</v>
      </c>
      <c r="D18" s="1" t="s">
        <v>7</v>
      </c>
      <c r="E18" s="11" t="s">
        <v>126</v>
      </c>
      <c r="F18" s="11"/>
      <c r="G18" s="30" t="s">
        <v>587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 t="str">
        <f t="shared" si="10"/>
        <v>armor</v>
      </c>
      <c r="M18" s="1"/>
      <c r="N18" s="14" t="str">
        <f t="shared" ca="1" si="11"/>
        <v>MovieClip * armor;</v>
      </c>
      <c r="O18" s="14" t="str">
        <f t="shared" ca="1" si="4"/>
        <v>armor= this-&gt;createMovieClip("armor","unit/","armor","armor");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3" t="s">
        <v>738</v>
      </c>
      <c r="C19" s="1">
        <f t="shared" ca="1" si="6"/>
        <v>1</v>
      </c>
      <c r="D19" s="1" t="s">
        <v>7</v>
      </c>
      <c r="E19" s="11" t="s">
        <v>126</v>
      </c>
      <c r="F19" s="11"/>
      <c r="G19" s="30" t="s">
        <v>587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 t="str">
        <f t="shared" si="10"/>
        <v>healthBar</v>
      </c>
      <c r="M19" s="1"/>
      <c r="N19" s="14" t="str">
        <f t="shared" ca="1" si="11"/>
        <v>MovieClip * healthBar;</v>
      </c>
      <c r="O19" s="14" t="str">
        <f t="shared" ca="1" si="4"/>
        <v>healthBar= this-&gt;createMovieClip("healthBar","unit/","healthBar","healthBar");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3" t="s">
        <v>364</v>
      </c>
      <c r="C20" s="1">
        <f t="shared" ca="1" si="6"/>
        <v>1</v>
      </c>
      <c r="D20" s="1" t="s">
        <v>7</v>
      </c>
      <c r="E20" s="11" t="s">
        <v>126</v>
      </c>
      <c r="F20" s="11"/>
      <c r="G20" s="30" t="s">
        <v>587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 t="str">
        <f t="shared" si="10"/>
        <v>shadow</v>
      </c>
      <c r="M20" s="1"/>
      <c r="N20" s="14" t="str">
        <f t="shared" ca="1" si="11"/>
        <v>MovieClip * shadow;</v>
      </c>
      <c r="O20" s="14" t="str">
        <f t="shared" ca="1" si="4"/>
        <v>shadow= this-&gt;createMovieClip("shadow","unit/","shadow","shadow");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3" t="s">
        <v>422</v>
      </c>
      <c r="C21" s="1">
        <f t="shared" ca="1" si="6"/>
        <v>1</v>
      </c>
      <c r="D21" s="1" t="s">
        <v>7</v>
      </c>
      <c r="E21" s="11" t="s">
        <v>126</v>
      </c>
      <c r="F21" s="11"/>
      <c r="G21" s="30" t="s">
        <v>587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 t="str">
        <f t="shared" si="10"/>
        <v>selectUnit</v>
      </c>
      <c r="M21" s="1"/>
      <c r="N21" s="14" t="str">
        <f t="shared" ca="1" si="11"/>
        <v>MovieClip * selectUnit;</v>
      </c>
      <c r="O21" s="14" t="str">
        <f t="shared" ca="1" si="4"/>
        <v>selectUnit= this-&gt;createMovieClip("selectUnit","unit/","selectUnit","selectUnit");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3" t="s">
        <v>24</v>
      </c>
      <c r="C22" s="1">
        <f t="shared" ca="1" si="6"/>
        <v>1</v>
      </c>
      <c r="D22" s="1" t="s">
        <v>7</v>
      </c>
      <c r="E22" s="11" t="s">
        <v>126</v>
      </c>
      <c r="F22" s="11"/>
      <c r="G22" s="30" t="s">
        <v>587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 t="str">
        <f t="shared" si="10"/>
        <v>dust4</v>
      </c>
      <c r="M22" s="1"/>
      <c r="N22" s="14" t="str">
        <f t="shared" ca="1" si="11"/>
        <v>MovieClip * dust4;</v>
      </c>
      <c r="O22" s="14" t="str">
        <f t="shared" ca="1" si="4"/>
        <v>dust4= this-&gt;createMovieClip("dust4","unit/","dust4","dust4");</v>
      </c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 t="s">
        <v>17</v>
      </c>
      <c r="B23" s="21" t="s">
        <v>739</v>
      </c>
      <c r="C23" s="1">
        <f t="shared" ca="1" si="0"/>
        <v>0</v>
      </c>
      <c r="D23" s="1" t="s">
        <v>7</v>
      </c>
      <c r="E23" s="11" t="s">
        <v>126</v>
      </c>
      <c r="F23" s="11"/>
      <c r="G23" s="30" t="s">
        <v>587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5"/>
        <v>Unit1_1_mc</v>
      </c>
      <c r="L23" s="1"/>
      <c r="M23" s="1"/>
      <c r="N23" s="14" t="str">
        <f t="shared" ca="1" si="3"/>
        <v/>
      </c>
      <c r="O23" s="14" t="str">
        <f t="shared" ref="O2:O45" ca="1" si="12">IF(C23&gt;0,IF(G23="MovieClip",IF(RIGHT(L23,3)&lt;&gt;"_mc",H23&amp;"= "&amp;"("&amp;K23&amp;"*)"&amp;I23&amp;"-&gt;"&amp;J23&amp;"("""&amp;B23&amp;""","""&amp;D23&amp;"/"","""&amp;L23&amp;""","""&amp;K23&amp;""")"&amp;";",
H23&amp;"= "&amp;"("&amp;K23&amp;"*)"&amp;I23&amp;"-&gt;"&amp;J23&amp;"("""&amp;B23&amp;""",new "&amp;K23&amp;"())"&amp;";"
),H23&amp;"= "&amp;I23&amp;"-&gt;"&amp;J23&amp;"("""&amp;K23&amp;""")"&amp;";"),IF(RIGHT(B23,3)&lt;&gt;"_mc",G23&amp;"("""&amp;D23&amp;""","""&amp;B23&amp;""","""&amp;K23&amp;"""{)",B23&amp;"::"&amp;B23&amp;":"&amp;G23&amp;"("""&amp;D23&amp;"/"","""&amp;B23&amp;""","""&amp;K23&amp;"""{)"))</f>
        <v>Unit1_1_mc::Unit1_1_mc:MovieClip("unit/","Unit1_1_mc","Unit1_1_mc"{)</v>
      </c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B24" s="3" t="s">
        <v>725</v>
      </c>
      <c r="C24" s="1">
        <f t="shared" ref="C24:C63" ca="1" si="13">indent(B24)</f>
        <v>1</v>
      </c>
      <c r="D24" s="1" t="s">
        <v>7</v>
      </c>
      <c r="E24" s="11" t="s">
        <v>126</v>
      </c>
      <c r="F24" s="11"/>
      <c r="G24" s="30" t="s">
        <v>587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724</v>
      </c>
      <c r="L24" s="1" t="str">
        <f>B24</f>
        <v>levinDeath</v>
      </c>
      <c r="M24" s="1"/>
      <c r="N24" s="14" t="str">
        <f ca="1">IF(C24&gt;0,G24 &amp; " * "&amp;H24 &amp;";","")</f>
        <v>MovieClip * levinDeath;</v>
      </c>
      <c r="O24" s="14" t="str">
        <f ca="1">IF(C24&gt;0,IF(G24="MovieClip",IF(M24&lt;&gt;"y",H24&amp;"= "&amp;I24&amp;"-&gt;"&amp;J24&amp;"("""&amp;B24&amp;""","""&amp;D24&amp;"/"","""&amp;L24&amp;""","""&amp;K24&amp;""")"&amp;";",
H24&amp;"= "&amp;"("&amp;K24&amp;"*)"&amp;I24&amp;"-&gt;"&amp;J24&amp;"("""&amp;B24&amp;""",new "&amp;K24&amp;"())"&amp;";"
),H24&amp;"= "&amp;I24&amp;"-&gt;"&amp;J24&amp;"("""&amp;K24&amp;""")"&amp;";"),IF(RIGHT(B24,3)&lt;&gt;"_mc",G24&amp;"("""&amp;D24&amp;""","""&amp;B24&amp;""","""&amp;K24&amp;"""{)",B24&amp;"::"&amp;B24&amp;":"&amp;G24&amp;"("""&amp;D24&amp;"/"","""&amp;B24&amp;""","""&amp;K24&amp;"""{)"))</f>
        <v>levinDeath= this-&gt;createMovieClip("levinDeath","unit/","levinDeath","UnitBase_mc");</v>
      </c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3" t="s">
        <v>728</v>
      </c>
      <c r="C25" s="1">
        <f t="shared" ca="1" si="13"/>
        <v>1</v>
      </c>
      <c r="D25" s="1" t="s">
        <v>7</v>
      </c>
      <c r="E25" s="11" t="s">
        <v>126</v>
      </c>
      <c r="F25" s="11"/>
      <c r="G25" s="30" t="s">
        <v>748</v>
      </c>
      <c r="H25" s="1" t="str">
        <f t="shared" ref="H25:H30" ca="1" si="14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724</v>
      </c>
      <c r="L25" s="1" t="str">
        <f t="shared" ref="L25:L42" si="15">B25</f>
        <v>stoneDeath</v>
      </c>
      <c r="M25" s="1"/>
      <c r="N25" s="14" t="str">
        <f t="shared" ref="N25:N84" ca="1" si="16">IF(C25&gt;0,G25 &amp; " * "&amp;H25 &amp;";","")</f>
        <v>MovieClip * stoneDeath;</v>
      </c>
      <c r="O25" s="14" t="str">
        <f t="shared" ref="O25:O45" ca="1" si="17">IF(C25&gt;0,IF(G25="MovieClip",IF(M25&lt;&gt;"y",H25&amp;"= "&amp;I25&amp;"-&gt;"&amp;J25&amp;"("""&amp;B25&amp;""","""&amp;D25&amp;"/"","""&amp;L25&amp;""","""&amp;K25&amp;""")"&amp;";",
H25&amp;"= "&amp;"("&amp;K25&amp;"*)"&amp;I25&amp;"-&gt;"&amp;J25&amp;"("""&amp;B25&amp;""",new "&amp;K25&amp;"())"&amp;";"
),H25&amp;"= "&amp;I25&amp;"-&gt;"&amp;J25&amp;"("""&amp;K25&amp;""")"&amp;";"),IF(RIGHT(B25,3)&lt;&gt;"_mc",G25&amp;"("""&amp;D25&amp;""","""&amp;B25&amp;""","""&amp;K25&amp;"""{)",B25&amp;"::"&amp;B25&amp;":"&amp;G25&amp;"("""&amp;D25&amp;"/"","""&amp;B25&amp;""","""&amp;K25&amp;"""{)"))</f>
        <v>stoneDeath= this-&gt;createMovieClip("stoneDeath","unit/","stoneDeath","UnitBase_mc");</v>
      </c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3" t="s">
        <v>727</v>
      </c>
      <c r="C26" s="1">
        <f ca="1">indent(B26)</f>
        <v>1</v>
      </c>
      <c r="D26" s="1" t="s">
        <v>7</v>
      </c>
      <c r="E26" s="11" t="s">
        <v>126</v>
      </c>
      <c r="F26" s="11"/>
      <c r="G26" s="30" t="s">
        <v>587</v>
      </c>
      <c r="H26" s="1" t="str">
        <f t="shared" ca="1" si="14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8">CONCATENATE("create",IF(LEFT(G26,2)="MC",MID(G26,3,LEN(G26)),G26))</f>
        <v>createMovieClip</v>
      </c>
      <c r="K26" s="1" t="s">
        <v>724</v>
      </c>
      <c r="L26" s="1" t="str">
        <f t="shared" si="15"/>
        <v>iceDeath</v>
      </c>
      <c r="M26" s="1"/>
      <c r="N26" s="14" t="str">
        <f t="shared" ca="1" si="16"/>
        <v>MovieClip * iceDeath;</v>
      </c>
      <c r="O26" s="14" t="str">
        <f t="shared" ca="1" si="17"/>
        <v>iceDeath= this-&gt;createMovieClip("iceDeath","unit/","iceDeath","UnitBase_mc");</v>
      </c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3" t="s">
        <v>726</v>
      </c>
      <c r="C27" s="1">
        <f t="shared" ca="1" si="13"/>
        <v>1</v>
      </c>
      <c r="D27" s="1" t="s">
        <v>7</v>
      </c>
      <c r="E27" s="11" t="s">
        <v>126</v>
      </c>
      <c r="F27" s="11"/>
      <c r="G27" s="30" t="s">
        <v>587</v>
      </c>
      <c r="H27" s="1" t="str">
        <f t="shared" ca="1" si="14"/>
        <v>buffHP</v>
      </c>
      <c r="I27" s="1" t="str">
        <f ca="1">IF(C27&lt;2,"this",IF(C27=C26,I26,IF(C27&gt;C26,H26, LOOKUP(1,0/(H$24:H26=I26),I$24:I27))))</f>
        <v>this</v>
      </c>
      <c r="J27" s="1" t="str">
        <f t="shared" si="18"/>
        <v>createMovieClip</v>
      </c>
      <c r="K27" s="1" t="s">
        <v>724</v>
      </c>
      <c r="L27" s="1" t="str">
        <f t="shared" si="15"/>
        <v>buffHP</v>
      </c>
      <c r="M27" s="1"/>
      <c r="N27" s="14" t="str">
        <f t="shared" ca="1" si="16"/>
        <v>MovieClip * buffHP;</v>
      </c>
      <c r="O27" s="14" t="str">
        <f t="shared" ca="1" si="17"/>
        <v>buffHP= this-&gt;createMovieClip("buffHP","unit/","buffHP","UnitBase_mc");</v>
      </c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3" t="s">
        <v>729</v>
      </c>
      <c r="C28" s="1">
        <f t="shared" ca="1" si="13"/>
        <v>1</v>
      </c>
      <c r="D28" s="1" t="s">
        <v>7</v>
      </c>
      <c r="E28" s="11" t="s">
        <v>126</v>
      </c>
      <c r="F28" s="11"/>
      <c r="G28" s="30" t="s">
        <v>587</v>
      </c>
      <c r="H28" s="1" t="str">
        <f t="shared" ca="1" si="14"/>
        <v>airShock</v>
      </c>
      <c r="I28" s="1" t="str">
        <f ca="1">IF(C28&lt;2,"this",IF(C28=C27,I27,IF(C28&gt;C27,H27, LOOKUP(1,0/(H$24:H27=I27),I$24:I28))))</f>
        <v>this</v>
      </c>
      <c r="J28" s="1" t="str">
        <f t="shared" si="18"/>
        <v>createMovieClip</v>
      </c>
      <c r="K28" s="1" t="s">
        <v>724</v>
      </c>
      <c r="L28" s="1" t="str">
        <f t="shared" si="15"/>
        <v>airShock</v>
      </c>
      <c r="M28" s="1"/>
      <c r="N28" s="14" t="str">
        <f t="shared" ca="1" si="16"/>
        <v>MovieClip * airShock;</v>
      </c>
      <c r="O28" s="14" t="str">
        <f t="shared" ca="1" si="17"/>
        <v>airShock= this-&gt;createMovieClip("airShock","unit/","airShock","UnitBase_mc");</v>
      </c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3" t="s">
        <v>730</v>
      </c>
      <c r="C29" s="1">
        <f t="shared" ca="1" si="13"/>
        <v>1</v>
      </c>
      <c r="D29" s="1" t="s">
        <v>7</v>
      </c>
      <c r="E29" s="11" t="s">
        <v>126</v>
      </c>
      <c r="F29" s="11"/>
      <c r="G29" s="30" t="s">
        <v>587</v>
      </c>
      <c r="H29" s="1" t="str">
        <f t="shared" ca="1" si="14"/>
        <v>buffSpeed</v>
      </c>
      <c r="I29" s="1" t="str">
        <f ca="1">IF(C29&lt;2,"this",IF(C29=C28,I28,IF(C29&gt;C28,H28, LOOKUP(1,0/(H$24:H28=I28),I$24:I29))))</f>
        <v>this</v>
      </c>
      <c r="J29" s="1" t="str">
        <f t="shared" si="18"/>
        <v>createMovieClip</v>
      </c>
      <c r="K29" s="1" t="s">
        <v>724</v>
      </c>
      <c r="L29" s="1" t="str">
        <f t="shared" si="15"/>
        <v>buffSpeed</v>
      </c>
      <c r="M29" s="1"/>
      <c r="N29" s="14" t="str">
        <f t="shared" ca="1" si="16"/>
        <v>MovieClip * buffSpeed;</v>
      </c>
      <c r="O29" s="14" t="str">
        <f t="shared" ca="1" si="17"/>
        <v>buffSpeed= this-&gt;createMovieClip("buffSpeed","unit/","buffSpeed","UnitBase_mc");</v>
      </c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3" t="s">
        <v>21</v>
      </c>
      <c r="C30" s="1">
        <f t="shared" ca="1" si="13"/>
        <v>1</v>
      </c>
      <c r="D30" s="1" t="s">
        <v>7</v>
      </c>
      <c r="E30" s="11" t="s">
        <v>126</v>
      </c>
      <c r="F30" s="11"/>
      <c r="G30" s="30" t="s">
        <v>587</v>
      </c>
      <c r="H30" s="1" t="str">
        <f t="shared" ca="1" si="14"/>
        <v>dust1</v>
      </c>
      <c r="I30" s="1" t="str">
        <f ca="1">IF(C30&lt;2,"this",IF(C30=C29,I29,IF(C30&gt;C29,H29, LOOKUP(1,0/(H$24:H29=I29),I$24:I30))))</f>
        <v>this</v>
      </c>
      <c r="J30" s="1" t="str">
        <f t="shared" si="18"/>
        <v>createMovieClip</v>
      </c>
      <c r="K30" s="1" t="s">
        <v>724</v>
      </c>
      <c r="L30" s="1" t="str">
        <f t="shared" si="15"/>
        <v>dust1</v>
      </c>
      <c r="M30" s="1"/>
      <c r="N30" s="14" t="str">
        <f t="shared" ca="1" si="16"/>
        <v>MovieClip * dust1;</v>
      </c>
      <c r="O30" s="14" t="str">
        <f t="shared" ca="1" si="17"/>
        <v>dust1= this-&gt;createMovieClip("dust1","unit/","dust1","UnitBase_mc");</v>
      </c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3" t="s">
        <v>22</v>
      </c>
      <c r="C31" s="1">
        <f t="shared" ca="1" si="13"/>
        <v>1</v>
      </c>
      <c r="D31" s="1" t="s">
        <v>7</v>
      </c>
      <c r="E31" s="11" t="s">
        <v>126</v>
      </c>
      <c r="F31" s="11"/>
      <c r="G31" s="30" t="s">
        <v>587</v>
      </c>
      <c r="H31" s="1" t="str">
        <f t="shared" ref="H31:H84" ca="1" si="19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20">CONCATENATE("create",IF(LEFT(G31,2)="MC",MID(G31,3,LEN(G31)),G31))</f>
        <v>createMovieClip</v>
      </c>
      <c r="K31" s="1" t="s">
        <v>724</v>
      </c>
      <c r="L31" s="1" t="str">
        <f t="shared" si="15"/>
        <v>dust2</v>
      </c>
      <c r="M31" s="1"/>
      <c r="N31" s="14" t="str">
        <f t="shared" ca="1" si="16"/>
        <v>MovieClip * dust2;</v>
      </c>
      <c r="O31" s="14" t="str">
        <f t="shared" ca="1" si="17"/>
        <v>dust2= this-&gt;createMovieClip("dust2","unit/","dust2","UnitBase_mc");</v>
      </c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3" t="s">
        <v>23</v>
      </c>
      <c r="C32" s="1">
        <f t="shared" ca="1" si="13"/>
        <v>1</v>
      </c>
      <c r="D32" s="1" t="s">
        <v>7</v>
      </c>
      <c r="E32" s="11" t="s">
        <v>126</v>
      </c>
      <c r="F32" s="11"/>
      <c r="G32" s="30" t="s">
        <v>587</v>
      </c>
      <c r="H32" s="1" t="str">
        <f t="shared" ca="1" si="19"/>
        <v>dust3</v>
      </c>
      <c r="I32" s="1" t="str">
        <f ca="1">IF(C32&lt;2,"this",IF(C32=C31,I31,IF(C32&gt;C31,H31, LOOKUP(1,0/(H$24:H31=I31),I$24:I32))))</f>
        <v>this</v>
      </c>
      <c r="J32" s="1" t="str">
        <f t="shared" si="20"/>
        <v>createMovieClip</v>
      </c>
      <c r="K32" s="1" t="s">
        <v>724</v>
      </c>
      <c r="L32" s="1" t="str">
        <f t="shared" si="15"/>
        <v>dust3</v>
      </c>
      <c r="M32" s="1"/>
      <c r="N32" s="14" t="str">
        <f t="shared" ca="1" si="16"/>
        <v>MovieClip * dust3;</v>
      </c>
      <c r="O32" s="14" t="str">
        <f t="shared" ca="1" si="17"/>
        <v>dust3= this-&gt;createMovieClip("dust3","unit/","dust3","UnitBase_mc");</v>
      </c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3" t="s">
        <v>731</v>
      </c>
      <c r="C33" s="1">
        <f t="shared" ca="1" si="13"/>
        <v>1</v>
      </c>
      <c r="D33" s="1" t="s">
        <v>7</v>
      </c>
      <c r="E33" s="11" t="s">
        <v>126</v>
      </c>
      <c r="F33" s="11"/>
      <c r="G33" s="30" t="s">
        <v>587</v>
      </c>
      <c r="H33" s="1" t="str">
        <f t="shared" ca="1" si="19"/>
        <v>fireAttack</v>
      </c>
      <c r="I33" s="1" t="str">
        <f ca="1">IF(C33&lt;2,"this",IF(C33=C32,I32,IF(C33&gt;C32,H32, LOOKUP(1,0/(H$24:H32=I32),I$24:I33))))</f>
        <v>this</v>
      </c>
      <c r="J33" s="1" t="str">
        <f t="shared" si="20"/>
        <v>createMovieClip</v>
      </c>
      <c r="K33" s="1" t="s">
        <v>724</v>
      </c>
      <c r="L33" s="1" t="str">
        <f t="shared" si="15"/>
        <v>fireAttack</v>
      </c>
      <c r="M33" s="1"/>
      <c r="N33" s="14" t="str">
        <f t="shared" ca="1" si="16"/>
        <v>MovieClip * fireAttack;</v>
      </c>
      <c r="O33" s="14" t="str">
        <f t="shared" ca="1" si="17"/>
        <v>fireAttack= this-&gt;createMovieClip("fireAttack","unit/","fireAttack","UnitBase_mc");</v>
      </c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3" t="s">
        <v>732</v>
      </c>
      <c r="C34" s="1">
        <f t="shared" ca="1" si="13"/>
        <v>1</v>
      </c>
      <c r="D34" s="1" t="s">
        <v>7</v>
      </c>
      <c r="E34" s="11" t="s">
        <v>126</v>
      </c>
      <c r="F34" s="11"/>
      <c r="G34" s="30" t="s">
        <v>587</v>
      </c>
      <c r="H34" s="1" t="str">
        <f t="shared" ca="1" si="19"/>
        <v>iceAttack</v>
      </c>
      <c r="I34" s="1" t="str">
        <f ca="1">IF(C34&lt;2,"this",IF(C34=C33,I33,IF(C34&gt;C33,H33, LOOKUP(1,0/(H$24:H33=I33),I$24:I34))))</f>
        <v>this</v>
      </c>
      <c r="J34" s="1" t="str">
        <f t="shared" si="20"/>
        <v>createMovieClip</v>
      </c>
      <c r="K34" s="1" t="s">
        <v>724</v>
      </c>
      <c r="L34" s="1" t="str">
        <f t="shared" si="15"/>
        <v>iceAttack</v>
      </c>
      <c r="M34" s="1"/>
      <c r="N34" s="14" t="str">
        <f t="shared" ca="1" si="16"/>
        <v>MovieClip * iceAttack;</v>
      </c>
      <c r="O34" s="14" t="str">
        <f t="shared" ca="1" si="17"/>
        <v>iceAttack= this-&gt;createMovieClip("iceAttack","unit/","iceAttack","UnitBase_mc");</v>
      </c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3" t="s">
        <v>733</v>
      </c>
      <c r="C35" s="1">
        <f t="shared" ca="1" si="13"/>
        <v>1</v>
      </c>
      <c r="D35" s="1" t="s">
        <v>7</v>
      </c>
      <c r="E35" s="11" t="s">
        <v>126</v>
      </c>
      <c r="F35" s="11"/>
      <c r="G35" s="30" t="s">
        <v>587</v>
      </c>
      <c r="H35" s="1" t="str">
        <f t="shared" ca="1" si="19"/>
        <v>levinAttack</v>
      </c>
      <c r="I35" s="1" t="str">
        <f ca="1">IF(C35&lt;2,"this",IF(C35=C34,I34,IF(C35&gt;C34,H34, LOOKUP(1,0/(H$24:H34=I34),I$24:I35))))</f>
        <v>this</v>
      </c>
      <c r="J35" s="1" t="str">
        <f t="shared" si="20"/>
        <v>createMovieClip</v>
      </c>
      <c r="K35" s="1" t="s">
        <v>724</v>
      </c>
      <c r="L35" s="1" t="str">
        <f t="shared" si="15"/>
        <v>levinAttack</v>
      </c>
      <c r="M35" s="1"/>
      <c r="N35" s="14" t="str">
        <f t="shared" ca="1" si="16"/>
        <v>MovieClip * levinAttack;</v>
      </c>
      <c r="O35" s="14" t="str">
        <f t="shared" ca="1" si="17"/>
        <v>levinAttack= this-&gt;createMovieClip("levinAttack","unit/","levinAttack","UnitBase_mc");</v>
      </c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3" t="s">
        <v>734</v>
      </c>
      <c r="C36" s="1">
        <f t="shared" ca="1" si="13"/>
        <v>1</v>
      </c>
      <c r="D36" s="1" t="s">
        <v>7</v>
      </c>
      <c r="E36" s="11" t="s">
        <v>126</v>
      </c>
      <c r="F36" s="11"/>
      <c r="G36" s="30" t="s">
        <v>587</v>
      </c>
      <c r="H36" s="1" t="str">
        <f t="shared" ca="1" si="19"/>
        <v>iceFreez</v>
      </c>
      <c r="I36" s="1" t="str">
        <f ca="1">IF(C36&lt;2,"this",IF(C36=C35,I35,IF(C36&gt;C35,H35, LOOKUP(1,0/(H$24:H35=I35),I$24:I36))))</f>
        <v>this</v>
      </c>
      <c r="J36" s="1" t="str">
        <f t="shared" si="20"/>
        <v>createMovieClip</v>
      </c>
      <c r="K36" s="1" t="s">
        <v>724</v>
      </c>
      <c r="L36" s="1" t="str">
        <f t="shared" si="15"/>
        <v>iceFreez</v>
      </c>
      <c r="M36" s="1"/>
      <c r="N36" s="14" t="str">
        <f t="shared" ca="1" si="16"/>
        <v>MovieClip * iceFreez;</v>
      </c>
      <c r="O36" s="14" t="str">
        <f t="shared" ca="1" si="17"/>
        <v>iceFreez= this-&gt;createMovieClip("iceFreez","unit/","iceFreez","UnitBase_mc");</v>
      </c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3" t="s">
        <v>735</v>
      </c>
      <c r="C37" s="1">
        <f t="shared" ca="1" si="13"/>
        <v>1</v>
      </c>
      <c r="D37" s="1" t="s">
        <v>7</v>
      </c>
      <c r="E37" s="11" t="s">
        <v>126</v>
      </c>
      <c r="F37" s="11"/>
      <c r="G37" s="30" t="s">
        <v>587</v>
      </c>
      <c r="H37" s="1" t="str">
        <f t="shared" ca="1" si="19"/>
        <v>fireEffect</v>
      </c>
      <c r="I37" s="1" t="str">
        <f ca="1">IF(C37&lt;2,"this",IF(C37=C36,I36,IF(C37&gt;C36,H36, LOOKUP(1,0/(H$24:H36=I36),I$24:I37))))</f>
        <v>this</v>
      </c>
      <c r="J37" s="1" t="str">
        <f t="shared" si="20"/>
        <v>createMovieClip</v>
      </c>
      <c r="K37" s="1" t="s">
        <v>724</v>
      </c>
      <c r="L37" s="1" t="str">
        <f t="shared" si="15"/>
        <v>fireEffect</v>
      </c>
      <c r="M37" s="1"/>
      <c r="N37" s="14" t="str">
        <f t="shared" ca="1" si="16"/>
        <v>MovieClip * fireEffect;</v>
      </c>
      <c r="O37" s="14" t="str">
        <f t="shared" ca="1" si="17"/>
        <v>fireEffect= this-&gt;createMovieClip("fireEffect","unit/","fireEffect","UnitBase_mc");</v>
      </c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3" t="s">
        <v>736</v>
      </c>
      <c r="C38" s="1">
        <f t="shared" ca="1" si="13"/>
        <v>1</v>
      </c>
      <c r="D38" s="1" t="s">
        <v>7</v>
      </c>
      <c r="E38" s="11" t="s">
        <v>126</v>
      </c>
      <c r="F38" s="11"/>
      <c r="G38" s="30" t="s">
        <v>587</v>
      </c>
      <c r="H38" s="1" t="str">
        <f t="shared" ca="1" si="19"/>
        <v>iceEffect</v>
      </c>
      <c r="I38" s="1" t="str">
        <f ca="1">IF(C38&lt;2,"this",IF(C38=C37,I37,IF(C38&gt;C37,H37, LOOKUP(1,0/(H$24:H37=I37),I$24:I38))))</f>
        <v>this</v>
      </c>
      <c r="J38" s="1" t="str">
        <f t="shared" si="20"/>
        <v>createMovieClip</v>
      </c>
      <c r="K38" s="1" t="s">
        <v>724</v>
      </c>
      <c r="L38" s="1" t="str">
        <f t="shared" si="15"/>
        <v>iceEffect</v>
      </c>
      <c r="M38" s="1"/>
      <c r="N38" s="14" t="str">
        <f t="shared" ca="1" si="16"/>
        <v>MovieClip * iceEffect;</v>
      </c>
      <c r="O38" s="14" t="str">
        <f t="shared" ca="1" si="17"/>
        <v>iceEffect= this-&gt;createMovieClip("iceEffect","unit/","iceEffect","UnitBase_mc");</v>
      </c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3" t="s">
        <v>737</v>
      </c>
      <c r="C39" s="1">
        <f t="shared" ca="1" si="13"/>
        <v>1</v>
      </c>
      <c r="D39" s="1" t="s">
        <v>7</v>
      </c>
      <c r="E39" s="11" t="s">
        <v>126</v>
      </c>
      <c r="F39" s="11"/>
      <c r="G39" s="30" t="s">
        <v>587</v>
      </c>
      <c r="H39" s="1" t="str">
        <f t="shared" ca="1" si="19"/>
        <v>armor</v>
      </c>
      <c r="I39" s="1" t="str">
        <f ca="1">IF(C39&lt;2,"this",IF(C39=C38,I38,IF(C39&gt;C38,H38, LOOKUP(1,0/(H$24:H38=I38),I$24:I39))))</f>
        <v>this</v>
      </c>
      <c r="J39" s="1" t="str">
        <f t="shared" si="20"/>
        <v>createMovieClip</v>
      </c>
      <c r="K39" s="1" t="s">
        <v>724</v>
      </c>
      <c r="L39" s="1" t="str">
        <f t="shared" si="15"/>
        <v>armor</v>
      </c>
      <c r="M39" s="1"/>
      <c r="N39" s="14" t="str">
        <f t="shared" ca="1" si="16"/>
        <v>MovieClip * armor;</v>
      </c>
      <c r="O39" s="14" t="str">
        <f t="shared" ca="1" si="17"/>
        <v>armor= this-&gt;createMovieClip("armor","unit/","armor","UnitBase_mc");</v>
      </c>
      <c r="P39" s="1"/>
      <c r="Q39" s="1"/>
      <c r="R39" s="1"/>
      <c r="S39" s="1"/>
      <c r="T39" s="1"/>
      <c r="U39" s="1"/>
      <c r="V39" s="1"/>
      <c r="W39" s="1"/>
      <c r="X39" s="1"/>
    </row>
    <row r="40" spans="1:24" s="12" customFormat="1" x14ac:dyDescent="0.25">
      <c r="A40" s="11"/>
      <c r="B40" s="3" t="s">
        <v>738</v>
      </c>
      <c r="C40" s="1">
        <f t="shared" ca="1" si="13"/>
        <v>1</v>
      </c>
      <c r="D40" s="11" t="s">
        <v>7</v>
      </c>
      <c r="E40" s="11" t="s">
        <v>126</v>
      </c>
      <c r="F40" s="11"/>
      <c r="G40" s="30" t="s">
        <v>587</v>
      </c>
      <c r="H40" s="1" t="str">
        <f t="shared" ca="1" si="19"/>
        <v>healthBar</v>
      </c>
      <c r="I40" s="1" t="str">
        <f ca="1">IF(C40&lt;2,"this",IF(C40=C39,I39,IF(C40&gt;C39,H39, LOOKUP(1,0/(H$24:H39=I39),I$24:I40))))</f>
        <v>this</v>
      </c>
      <c r="J40" s="1" t="str">
        <f t="shared" si="20"/>
        <v>createMovieClip</v>
      </c>
      <c r="K40" s="1" t="s">
        <v>724</v>
      </c>
      <c r="L40" s="1" t="str">
        <f t="shared" si="15"/>
        <v>healthBar</v>
      </c>
      <c r="M40" s="1"/>
      <c r="N40" s="14" t="str">
        <f t="shared" ca="1" si="16"/>
        <v>MovieClip * healthBar;</v>
      </c>
      <c r="O40" s="14" t="str">
        <f t="shared" ca="1" si="17"/>
        <v>healthBar= this-&gt;createMovieClip("healthBar","unit/","healthBar","UnitBase_mc");</v>
      </c>
      <c r="P40" s="11"/>
      <c r="Q40" s="11"/>
      <c r="R40" s="11"/>
      <c r="S40" s="11"/>
      <c r="T40" s="11"/>
      <c r="U40" s="11"/>
      <c r="V40" s="11"/>
      <c r="W40" s="11"/>
      <c r="X40" s="11"/>
    </row>
    <row r="41" spans="1:24" s="12" customFormat="1" x14ac:dyDescent="0.25">
      <c r="A41" s="11"/>
      <c r="B41" s="3" t="s">
        <v>364</v>
      </c>
      <c r="C41" s="1">
        <f t="shared" ca="1" si="13"/>
        <v>1</v>
      </c>
      <c r="D41" s="11" t="s">
        <v>7</v>
      </c>
      <c r="E41" s="11" t="s">
        <v>126</v>
      </c>
      <c r="F41" s="11"/>
      <c r="G41" s="30" t="s">
        <v>587</v>
      </c>
      <c r="H41" s="1" t="str">
        <f t="shared" ca="1" si="19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724</v>
      </c>
      <c r="L41" s="1" t="str">
        <f t="shared" si="15"/>
        <v>shadow</v>
      </c>
      <c r="M41" s="1"/>
      <c r="N41" s="14" t="str">
        <f t="shared" ca="1" si="16"/>
        <v>MovieClip * shadow;</v>
      </c>
      <c r="O41" s="14" t="str">
        <f t="shared" ca="1" si="17"/>
        <v>shadow= this-&gt;createMovieClip("shadow","unit/","shadow","UnitBase_mc");</v>
      </c>
      <c r="P41" s="11"/>
      <c r="Q41" s="11"/>
      <c r="R41" s="11"/>
      <c r="S41" s="11"/>
      <c r="T41" s="11"/>
      <c r="U41" s="11"/>
      <c r="V41" s="11"/>
      <c r="W41" s="11"/>
      <c r="X41" s="11"/>
    </row>
    <row r="42" spans="1:24" s="12" customFormat="1" x14ac:dyDescent="0.25">
      <c r="A42" s="11"/>
      <c r="B42" s="3" t="s">
        <v>422</v>
      </c>
      <c r="C42" s="1">
        <f t="shared" ca="1" si="13"/>
        <v>1</v>
      </c>
      <c r="D42" s="11" t="s">
        <v>7</v>
      </c>
      <c r="E42" s="11" t="s">
        <v>126</v>
      </c>
      <c r="F42" s="11"/>
      <c r="G42" s="30" t="s">
        <v>587</v>
      </c>
      <c r="H42" s="1" t="str">
        <f t="shared" ca="1" si="19"/>
        <v>selectUnit</v>
      </c>
      <c r="I42" s="1" t="str">
        <f ca="1">IF(C42&lt;2,"this",IF(C42=C41,I41,IF(C42&gt;C41,H41, LOOKUP(1,0/(H$24:H41=I41),I$24:I42))))</f>
        <v>this</v>
      </c>
      <c r="J42" s="1" t="str">
        <f t="shared" si="20"/>
        <v>createMovieClip</v>
      </c>
      <c r="K42" s="1" t="s">
        <v>724</v>
      </c>
      <c r="L42" s="1" t="str">
        <f t="shared" si="15"/>
        <v>selectUnit</v>
      </c>
      <c r="M42" s="1"/>
      <c r="N42" s="14" t="str">
        <f t="shared" ca="1" si="16"/>
        <v>MovieClip * selectUnit;</v>
      </c>
      <c r="O42" s="14" t="str">
        <f t="shared" ca="1" si="17"/>
        <v>selectUnit= this-&gt;createMovieClip("selectUnit","unit/","selectUnit","UnitBase_mc");</v>
      </c>
      <c r="P42" s="11"/>
      <c r="Q42" s="11"/>
      <c r="R42" s="11"/>
      <c r="S42" s="11"/>
      <c r="T42" s="11"/>
      <c r="U42" s="11"/>
      <c r="V42" s="11"/>
      <c r="W42" s="11"/>
      <c r="X42" s="11"/>
    </row>
    <row r="43" spans="1:24" s="12" customFormat="1" x14ac:dyDescent="0.25">
      <c r="A43" s="11"/>
      <c r="B43" s="3" t="s">
        <v>24</v>
      </c>
      <c r="C43" s="1">
        <f t="shared" ref="C43:C44" ca="1" si="21">indent(B43)</f>
        <v>1</v>
      </c>
      <c r="D43" s="11" t="s">
        <v>7</v>
      </c>
      <c r="E43" s="11" t="s">
        <v>126</v>
      </c>
      <c r="F43" s="11"/>
      <c r="G43" s="30" t="s">
        <v>587</v>
      </c>
      <c r="H43" s="1" t="str">
        <f t="shared" ref="H43:H44" ca="1" si="22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3">CONCATENATE("create",IF(LEFT(G43,2)="MC",MID(G43,3,LEN(G43)),G43))</f>
        <v>createMovieClip</v>
      </c>
      <c r="K43" s="1" t="s">
        <v>724</v>
      </c>
      <c r="L43" s="1" t="str">
        <f t="shared" ref="L43:L44" si="24">B43</f>
        <v>dust4</v>
      </c>
      <c r="M43" s="1"/>
      <c r="N43" s="14" t="str">
        <f t="shared" ref="N43:N44" ca="1" si="25">IF(C43&gt;0,G43 &amp; " * "&amp;H43 &amp;";","")</f>
        <v>MovieClip * dust4;</v>
      </c>
      <c r="O43" s="14" t="str">
        <f t="shared" ca="1" si="17"/>
        <v>dust4= this-&gt;createMovieClip("dust4","unit/","dust4","UnitBase_mc");</v>
      </c>
      <c r="P43" s="11"/>
      <c r="Q43" s="11"/>
      <c r="R43" s="11"/>
      <c r="S43" s="11"/>
      <c r="T43" s="11"/>
      <c r="U43" s="11"/>
      <c r="V43" s="11"/>
      <c r="W43" s="11"/>
      <c r="X43" s="11"/>
    </row>
    <row r="44" spans="1:24" s="12" customFormat="1" x14ac:dyDescent="0.25">
      <c r="A44" s="11"/>
      <c r="B44" s="3" t="s">
        <v>741</v>
      </c>
      <c r="C44" s="1">
        <f t="shared" ca="1" si="21"/>
        <v>1</v>
      </c>
      <c r="D44" s="11" t="s">
        <v>7</v>
      </c>
      <c r="E44" s="11" t="s">
        <v>126</v>
      </c>
      <c r="F44" s="11"/>
      <c r="G44" s="30" t="s">
        <v>742</v>
      </c>
      <c r="H44" s="1" t="str">
        <f t="shared" ca="1" si="22"/>
        <v>cont</v>
      </c>
      <c r="I44" s="1" t="str">
        <f ca="1">IF(C44&lt;2,"this",IF(C44=C43,I43,IF(C44&gt;C43,H43, LOOKUP(1,0/(H$24:H43=I43),I$24:I44))))</f>
        <v>this</v>
      </c>
      <c r="J44" s="1" t="str">
        <f t="shared" si="23"/>
        <v>createMovieClipSub</v>
      </c>
      <c r="K44" s="1" t="str">
        <f t="shared" ref="K44" si="26">B44</f>
        <v>cont</v>
      </c>
      <c r="L44" s="1" t="str">
        <f t="shared" si="24"/>
        <v>cont</v>
      </c>
      <c r="M44" s="1"/>
      <c r="N44" s="14" t="str">
        <f t="shared" ca="1" si="25"/>
        <v>MovieClipSub * cont;</v>
      </c>
      <c r="O44" s="14" t="str">
        <f t="shared" ca="1" si="17"/>
        <v>cont= this-&gt;createMovieClipSub("cont");</v>
      </c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25">
      <c r="A45" s="1"/>
      <c r="B45" s="3" t="s">
        <v>743</v>
      </c>
      <c r="C45" s="1">
        <f t="shared" ref="C45" ca="1" si="27">indent(B45)</f>
        <v>1</v>
      </c>
      <c r="D45" s="1" t="s">
        <v>7</v>
      </c>
      <c r="E45" s="11" t="s">
        <v>126</v>
      </c>
      <c r="F45" s="11"/>
      <c r="G45" s="30" t="s">
        <v>744</v>
      </c>
      <c r="H45" s="1" t="str">
        <f t="shared" ref="H45" ca="1" si="28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9">CONCATENATE("create",IF(LEFT(G45,2)="MC",MID(G45,3,LEN(G45)),G45))</f>
        <v>createCase</v>
      </c>
      <c r="K45" s="1" t="str">
        <f t="shared" ref="K45" si="30">B45</f>
        <v>unitCase</v>
      </c>
      <c r="L45" s="1"/>
      <c r="M45" s="1"/>
      <c r="N45" s="14" t="str">
        <f t="shared" ref="N45" ca="1" si="31">IF(C45&gt;0,G45 &amp; " * "&amp;H45 &amp;";","")</f>
        <v>MCCase * unitCase;</v>
      </c>
      <c r="O45" s="14" t="str">
        <f t="shared" ca="1" si="17"/>
        <v>unitCase= this-&gt;createCase("unitCase");</v>
      </c>
      <c r="P45" s="1"/>
      <c r="Q45" s="1"/>
      <c r="R45" s="1"/>
      <c r="S45" s="1"/>
      <c r="T45" s="1"/>
      <c r="U45" s="1"/>
      <c r="V45" s="1"/>
      <c r="W45" s="1"/>
      <c r="X45" s="1"/>
    </row>
    <row r="46" spans="1:24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4"/>
      <c r="O46" s="14"/>
      <c r="P46" s="11"/>
      <c r="Q46" s="11"/>
      <c r="R46" s="11"/>
      <c r="S46" s="11"/>
      <c r="T46" s="11"/>
      <c r="U46" s="11"/>
      <c r="V46" s="11"/>
      <c r="W46" s="11"/>
      <c r="X46" s="11"/>
    </row>
    <row r="47" spans="1:24" s="12" customFormat="1" x14ac:dyDescent="0.25">
      <c r="A47" s="11" t="s">
        <v>19</v>
      </c>
      <c r="B47" s="21" t="s">
        <v>745</v>
      </c>
      <c r="C47" s="1">
        <f t="shared" ca="1" si="13"/>
        <v>0</v>
      </c>
      <c r="D47" s="11" t="s">
        <v>7</v>
      </c>
      <c r="E47" s="11" t="s">
        <v>126</v>
      </c>
      <c r="F47" s="11"/>
      <c r="G47" s="30" t="s">
        <v>587</v>
      </c>
      <c r="H47" s="1" t="str">
        <f t="shared" ca="1" si="19"/>
        <v>UnitX_mc</v>
      </c>
      <c r="I47" s="1" t="str">
        <f ca="1">IF(C47&lt;2,"this",IF(C47=C42,I42,IF(C47&gt;C42,H42, LOOKUP(1,0/(H$24:H42=I42),I$24:I47))))</f>
        <v>this</v>
      </c>
      <c r="J47" s="1" t="str">
        <f t="shared" si="20"/>
        <v>createMovieClip</v>
      </c>
      <c r="K47" s="1" t="str">
        <f t="shared" ref="K47:K84" si="32">B47</f>
        <v>UnitX_mc</v>
      </c>
      <c r="L47" s="11"/>
      <c r="M47" s="11"/>
      <c r="N47" s="14" t="str">
        <f t="shared" ca="1" si="16"/>
        <v/>
      </c>
      <c r="O47" s="14" t="str">
        <f ca="1">IF(C47&gt;0,H47&amp;"= "&amp;I47&amp;"-&gt;"&amp;J47&amp;"("""&amp;K47&amp;""")"&amp;";",IF(RIGHT(B47,3)&lt;&gt;"_mc",G47&amp;"("""&amp;D47&amp;""","""&amp;B47&amp;""","""&amp;K47&amp;"""{)",B47&amp;"::"&amp;B47&amp;":"&amp;G47&amp;"("""&amp;D47&amp;""","""&amp;B47&amp;""","""&amp;K47&amp;"""{)"))</f>
        <v>UnitX_mc::UnitX_mc:MovieClip("unit","UnitX_mc","UnitX_mc"{)</v>
      </c>
      <c r="P47" s="11"/>
      <c r="Q47" s="11"/>
      <c r="R47" s="11"/>
      <c r="S47" s="11"/>
      <c r="T47" s="11"/>
      <c r="U47" s="11"/>
      <c r="V47" s="11"/>
      <c r="W47" s="11"/>
      <c r="X47" s="11"/>
    </row>
    <row r="48" spans="1:24" s="12" customFormat="1" ht="13.2" customHeight="1" x14ac:dyDescent="0.25">
      <c r="A48" s="11"/>
      <c r="B48" s="3" t="s">
        <v>741</v>
      </c>
      <c r="C48" s="1">
        <f t="shared" ca="1" si="13"/>
        <v>1</v>
      </c>
      <c r="D48" s="11" t="s">
        <v>7</v>
      </c>
      <c r="E48" s="11" t="s">
        <v>126</v>
      </c>
      <c r="F48" s="11"/>
      <c r="G48" s="30" t="s">
        <v>742</v>
      </c>
      <c r="H48" s="1" t="str">
        <f t="shared" ca="1" si="19"/>
        <v>cont</v>
      </c>
      <c r="I48" s="1" t="str">
        <f ca="1">IF(C48&lt;2,"this",IF(C48=C47,I47,IF(C48&gt;C47,H47, LOOKUP(1,0/(H$24:H47=I47),I$24:I48))))</f>
        <v>this</v>
      </c>
      <c r="J48" s="1" t="str">
        <f t="shared" si="20"/>
        <v>createMovieClipSub</v>
      </c>
      <c r="K48" s="1" t="str">
        <f t="shared" si="32"/>
        <v>cont</v>
      </c>
      <c r="L48" s="1" t="str">
        <f t="shared" ref="L48" si="33">B48</f>
        <v>cont</v>
      </c>
      <c r="M48" s="11"/>
      <c r="N48" s="14" t="str">
        <f t="shared" ca="1" si="16"/>
        <v>MovieClipSub * cont;</v>
      </c>
      <c r="O48" s="14" t="str">
        <f ca="1">IF(C48&gt;0,H48&amp;"= "&amp;I48&amp;"-&gt;"&amp;J48&amp;"("""&amp;K48&amp;""")"&amp;";",IF(RIGHT(B48,3)&lt;&gt;"_mc",G48&amp;"("""&amp;D48&amp;""","""&amp;B48&amp;""","""&amp;K48&amp;"""{)",B48&amp;"::"&amp;B48&amp;":"&amp;G48&amp;"("""&amp;D48&amp;""","""&amp;B48&amp;""","""&amp;K48&amp;"""{)"))</f>
        <v>cont= this-&gt;createMovieClipSub("cont");</v>
      </c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25">
      <c r="A49" s="1"/>
      <c r="B49" s="3" t="s">
        <v>743</v>
      </c>
      <c r="C49" s="1">
        <f t="shared" ca="1" si="13"/>
        <v>1</v>
      </c>
      <c r="D49" s="1" t="s">
        <v>7</v>
      </c>
      <c r="E49" s="11" t="s">
        <v>126</v>
      </c>
      <c r="F49" s="11"/>
      <c r="G49" s="30" t="s">
        <v>744</v>
      </c>
      <c r="H49" s="1" t="str">
        <f t="shared" ca="1" si="19"/>
        <v>unitCase</v>
      </c>
      <c r="I49" s="1" t="str">
        <f ca="1">IF(C49&lt;2,"this",IF(C49=C5,I5,IF(C49&gt;C5,H5, LOOKUP(1,0/(H5:H$24=I5),I7:I$24))))</f>
        <v>this</v>
      </c>
      <c r="J49" s="1" t="str">
        <f t="shared" si="20"/>
        <v>createCase</v>
      </c>
      <c r="K49" s="1" t="str">
        <f t="shared" si="32"/>
        <v>unitCase</v>
      </c>
      <c r="L49" s="1"/>
      <c r="M49" s="1"/>
      <c r="N49" s="14" t="str">
        <f t="shared" ca="1" si="16"/>
        <v>MCCase * unitCase;</v>
      </c>
      <c r="O49" s="14" t="str">
        <f ca="1">IF(C49&gt;0,H49&amp;"= "&amp;I49&amp;"-&gt;"&amp;J49&amp;"("""&amp;K49&amp;""")"&amp;";",IF(RIGHT(B49,3)&lt;&gt;"_mc",G49&amp;"("""&amp;D49&amp;""","""&amp;B49&amp;""","""&amp;K49&amp;"""{)",B49&amp;"::"&amp;B49&amp;":"&amp;G49&amp;"("""&amp;D49&amp;""","""&amp;B49&amp;""","""&amp;K49&amp;"""{)"))</f>
        <v>unitCase= this-&gt;createCase("unitCase");</v>
      </c>
      <c r="P49" s="1"/>
      <c r="Q49" s="1"/>
      <c r="R49" s="1"/>
      <c r="S49" s="1"/>
      <c r="T49" s="1"/>
      <c r="U49" s="1"/>
      <c r="V49" s="1"/>
      <c r="W49" s="1"/>
      <c r="X49" s="1"/>
    </row>
    <row r="50" spans="1:24" s="12" customFormat="1" x14ac:dyDescent="0.25">
      <c r="A50" s="11" t="s">
        <v>746</v>
      </c>
      <c r="B50" s="21" t="s">
        <v>747</v>
      </c>
      <c r="C50" s="1">
        <f t="shared" ref="C50:C52" ca="1" si="34">indent(B50)</f>
        <v>0</v>
      </c>
      <c r="D50" s="11" t="s">
        <v>7</v>
      </c>
      <c r="E50" s="11" t="s">
        <v>126</v>
      </c>
      <c r="F50" s="11"/>
      <c r="G50" s="30" t="s">
        <v>587</v>
      </c>
      <c r="H50" s="1" t="str">
        <f t="shared" ref="H50:H52" ca="1" si="35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6">CONCATENATE("create",IF(LEFT(G50,2)="MC",MID(G50,3,LEN(G50)),G50))</f>
        <v>createMovieClip</v>
      </c>
      <c r="K50" s="1" t="str">
        <f t="shared" ref="K50:K52" si="37">B50</f>
        <v>Unit4_mc</v>
      </c>
      <c r="L50" s="11"/>
      <c r="M50" s="11"/>
      <c r="N50" s="14" t="str">
        <f t="shared" ref="N50:N52" ca="1" si="38">IF(C50&gt;0,G50 &amp; " * "&amp;H50 &amp;";","")</f>
        <v/>
      </c>
      <c r="O50" s="14" t="str">
        <f t="shared" ref="O50:O52" ca="1" si="39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  <c r="P50" s="11"/>
      <c r="Q50" s="11"/>
      <c r="R50" s="11"/>
      <c r="S50" s="11"/>
      <c r="T50" s="11"/>
      <c r="U50" s="11"/>
      <c r="V50" s="11"/>
      <c r="W50" s="11"/>
      <c r="X50" s="11"/>
    </row>
    <row r="51" spans="1:24" s="12" customFormat="1" ht="13.2" customHeight="1" x14ac:dyDescent="0.25">
      <c r="A51" s="11"/>
      <c r="B51" s="3" t="s">
        <v>741</v>
      </c>
      <c r="C51" s="1">
        <f t="shared" ca="1" si="34"/>
        <v>1</v>
      </c>
      <c r="D51" s="11" t="s">
        <v>7</v>
      </c>
      <c r="E51" s="11" t="s">
        <v>126</v>
      </c>
      <c r="F51" s="11"/>
      <c r="G51" s="30" t="s">
        <v>742</v>
      </c>
      <c r="H51" s="1" t="str">
        <f t="shared" ca="1" si="35"/>
        <v>cont</v>
      </c>
      <c r="I51" s="1" t="str">
        <f ca="1">IF(C51&lt;2,"this",IF(C51=C50,I50,IF(C51&gt;C50,H50, LOOKUP(1,0/(H$24:H50=I50),I$24:I51))))</f>
        <v>this</v>
      </c>
      <c r="J51" s="1" t="str">
        <f t="shared" si="36"/>
        <v>createMovieClipSub</v>
      </c>
      <c r="K51" s="1" t="str">
        <f t="shared" si="37"/>
        <v>cont</v>
      </c>
      <c r="L51" s="1" t="str">
        <f t="shared" ref="L51" si="40">B51</f>
        <v>cont</v>
      </c>
      <c r="M51" s="11"/>
      <c r="N51" s="14" t="str">
        <f t="shared" ca="1" si="38"/>
        <v>MovieClipSub * cont;</v>
      </c>
      <c r="O51" s="14" t="str">
        <f t="shared" ca="1" si="39"/>
        <v>cont= this-&gt;createMovieClipSub("cont");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25">
      <c r="A52" s="1"/>
      <c r="B52" s="3" t="s">
        <v>743</v>
      </c>
      <c r="C52" s="1">
        <f t="shared" ca="1" si="34"/>
        <v>1</v>
      </c>
      <c r="D52" s="1" t="s">
        <v>7</v>
      </c>
      <c r="E52" s="11" t="s">
        <v>126</v>
      </c>
      <c r="F52" s="11"/>
      <c r="G52" s="30" t="s">
        <v>744</v>
      </c>
      <c r="H52" s="1" t="str">
        <f t="shared" ca="1" si="35"/>
        <v>unitCase</v>
      </c>
      <c r="I52" s="1" t="str">
        <f ca="1">IF(C52&lt;2,"this",IF(C52=C8,I8,IF(C52&gt;C8,H8, LOOKUP(1,0/(H8:H$24=I8),I10:I$24))))</f>
        <v>this</v>
      </c>
      <c r="J52" s="1" t="str">
        <f t="shared" si="36"/>
        <v>createCase</v>
      </c>
      <c r="K52" s="1" t="str">
        <f t="shared" si="37"/>
        <v>unitCase</v>
      </c>
      <c r="L52" s="1"/>
      <c r="M52" s="1"/>
      <c r="N52" s="14" t="str">
        <f t="shared" ca="1" si="38"/>
        <v>MCCase * unitCase;</v>
      </c>
      <c r="O52" s="14" t="str">
        <f t="shared" ca="1" si="39"/>
        <v>unitCase= this-&gt;createCase("unitCase");</v>
      </c>
      <c r="P52" s="1"/>
      <c r="Q52" s="1"/>
      <c r="R52" s="1"/>
      <c r="S52" s="1"/>
      <c r="T52" s="1"/>
      <c r="U52" s="1"/>
      <c r="V52" s="1"/>
      <c r="W52" s="1"/>
      <c r="X52" s="1"/>
    </row>
    <row r="53" spans="1:24" s="12" customFormat="1" x14ac:dyDescent="0.25">
      <c r="A53" s="11" t="s">
        <v>34</v>
      </c>
      <c r="B53" s="11" t="s">
        <v>32</v>
      </c>
      <c r="C53" s="1">
        <f t="shared" ca="1" si="13"/>
        <v>0</v>
      </c>
      <c r="D53" s="11" t="s">
        <v>7</v>
      </c>
      <c r="E53" s="11" t="s">
        <v>126</v>
      </c>
      <c r="F53" s="11"/>
      <c r="G53" s="30" t="s">
        <v>587</v>
      </c>
      <c r="H53" s="1" t="str">
        <f t="shared" ca="1" si="19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20"/>
        <v>createMovieClip</v>
      </c>
      <c r="K53" s="1" t="str">
        <f t="shared" si="32"/>
        <v>signal</v>
      </c>
      <c r="L53" s="11"/>
      <c r="M53" s="11"/>
      <c r="N53" s="14" t="str">
        <f t="shared" ca="1" si="16"/>
        <v/>
      </c>
      <c r="O53" s="14" t="str">
        <f ca="1">IF(C53&gt;0,H53&amp;"= "&amp;I53&amp;"-&gt;"&amp;J53&amp;"("""&amp;K53&amp;""")"&amp;";",IF(RIGHT(B53,3)&lt;&gt;"_mc",G53&amp;"("""&amp;D53&amp;""","""&amp;B53&amp;""","""&amp;K53&amp;"""{)",B53&amp;"::"&amp;B53&amp;":"&amp;G53&amp;"("""&amp;D53&amp;""","""&amp;B53&amp;""","""&amp;K53&amp;"""{)"))</f>
        <v>MovieClip("unit","signal","signal"{)</v>
      </c>
      <c r="P53" s="11"/>
      <c r="Q53" s="11"/>
      <c r="R53" s="11"/>
      <c r="S53" s="11"/>
      <c r="T53" s="11"/>
      <c r="U53" s="11"/>
      <c r="V53" s="11"/>
      <c r="W53" s="11"/>
      <c r="X53" s="11"/>
    </row>
    <row r="54" spans="1:24" s="12" customFormat="1" x14ac:dyDescent="0.25">
      <c r="A54" s="11" t="s">
        <v>35</v>
      </c>
      <c r="B54" s="11" t="s">
        <v>32</v>
      </c>
      <c r="C54" s="1">
        <f t="shared" ca="1" si="13"/>
        <v>0</v>
      </c>
      <c r="D54" s="11" t="s">
        <v>7</v>
      </c>
      <c r="E54" s="11" t="s">
        <v>126</v>
      </c>
      <c r="F54" s="11"/>
      <c r="G54" s="30" t="s">
        <v>587</v>
      </c>
      <c r="H54" s="1" t="str">
        <f t="shared" ca="1" si="19"/>
        <v>signal</v>
      </c>
      <c r="I54" s="1" t="str">
        <f ca="1">IF(C54&lt;2,"this",IF(C54=C53,I53,IF(C54&gt;C53,H53, LOOKUP(1,0/(H$24:H53=I53),I$24:I54))))</f>
        <v>this</v>
      </c>
      <c r="J54" s="1" t="str">
        <f t="shared" si="20"/>
        <v>createMovieClip</v>
      </c>
      <c r="K54" s="1" t="str">
        <f t="shared" si="32"/>
        <v>signal</v>
      </c>
      <c r="L54" s="11"/>
      <c r="M54" s="11"/>
      <c r="N54" s="14" t="str">
        <f t="shared" ca="1" si="16"/>
        <v/>
      </c>
      <c r="O54" s="14" t="str">
        <f ca="1">IF(C54&gt;0,H54&amp;"= "&amp;I54&amp;"-&gt;"&amp;J54&amp;"("""&amp;K54&amp;""")"&amp;";",IF(RIGHT(B54,3)&lt;&gt;"_mc",G54&amp;"("""&amp;D54&amp;""","""&amp;B54&amp;""","""&amp;K54&amp;"""{)",B54&amp;"::"&amp;B54&amp;":"&amp;G54&amp;"("""&amp;D54&amp;""","""&amp;B54&amp;""","""&amp;K54&amp;"""{)"))</f>
        <v>MovieClip("unit","signal","signal"{)</v>
      </c>
      <c r="P54" s="11"/>
      <c r="Q54" s="11"/>
      <c r="R54" s="11"/>
      <c r="S54" s="11"/>
      <c r="T54" s="11"/>
      <c r="U54" s="11"/>
      <c r="V54" s="11"/>
      <c r="W54" s="11"/>
      <c r="X54" s="11"/>
    </row>
    <row r="55" spans="1:24" s="12" customFormat="1" x14ac:dyDescent="0.25">
      <c r="A55" s="11" t="s">
        <v>54</v>
      </c>
      <c r="B55" s="11" t="s">
        <v>53</v>
      </c>
      <c r="C55" s="1">
        <f t="shared" ca="1" si="13"/>
        <v>0</v>
      </c>
      <c r="D55" s="11" t="s">
        <v>7</v>
      </c>
      <c r="E55" s="11" t="s">
        <v>126</v>
      </c>
      <c r="F55" s="11"/>
      <c r="G55" s="30" t="s">
        <v>587</v>
      </c>
      <c r="H55" s="1" t="str">
        <f t="shared" ca="1" si="19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20"/>
        <v>createMovieClip</v>
      </c>
      <c r="K55" s="1" t="str">
        <f t="shared" si="32"/>
        <v>Unit20_frontDeath_mc</v>
      </c>
      <c r="L55" s="11"/>
      <c r="M55" s="11"/>
      <c r="N55" s="14" t="str">
        <f t="shared" ca="1" si="16"/>
        <v/>
      </c>
      <c r="O55" s="14" t="str">
        <f ca="1">IF(C55&gt;0,H55&amp;"= "&amp;I55&amp;"-&gt;"&amp;J55&amp;"("""&amp;K55&amp;""")"&amp;";",IF(RIGHT(B55,3)&lt;&gt;"_mc",G55&amp;"("""&amp;D55&amp;""","""&amp;B55&amp;""","""&amp;K55&amp;"""{)",B55&amp;"::"&amp;B55&amp;":"&amp;G55&amp;"("""&amp;D55&amp;""","""&amp;B55&amp;""","""&amp;K55&amp;"""{)"))</f>
        <v>Unit20_frontDeath_mc::Unit20_frontDeath_mc:MovieClip("unit","Unit20_frontDeath_mc","Unit20_frontDeath_mc"{)</v>
      </c>
      <c r="P55" s="11"/>
      <c r="Q55" s="11"/>
      <c r="R55" s="11"/>
      <c r="S55" s="11"/>
      <c r="T55" s="11"/>
      <c r="U55" s="11"/>
      <c r="V55" s="11"/>
      <c r="W55" s="11"/>
      <c r="X55" s="11"/>
    </row>
    <row r="56" spans="1:24" s="12" customFormat="1" x14ac:dyDescent="0.25">
      <c r="A56" s="11"/>
      <c r="B56" s="11" t="s">
        <v>55</v>
      </c>
      <c r="C56" s="1">
        <f t="shared" ca="1" si="13"/>
        <v>0</v>
      </c>
      <c r="D56" s="11" t="s">
        <v>7</v>
      </c>
      <c r="E56" s="11" t="s">
        <v>126</v>
      </c>
      <c r="F56" s="11"/>
      <c r="G56" s="30" t="s">
        <v>587</v>
      </c>
      <c r="H56" s="1" t="str">
        <f t="shared" ca="1" si="19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20"/>
        <v>createMovieClip</v>
      </c>
      <c r="K56" s="1" t="str">
        <f t="shared" si="32"/>
        <v>Unit20_backDeath_mc</v>
      </c>
      <c r="L56" s="11"/>
      <c r="M56" s="11"/>
      <c r="N56" s="14" t="str">
        <f t="shared" ca="1" si="16"/>
        <v/>
      </c>
      <c r="O56" s="14" t="str">
        <f ca="1">IF(C56&gt;0,H56&amp;"= "&amp;I56&amp;"-&gt;"&amp;J56&amp;"("""&amp;K56&amp;""")"&amp;";",IF(RIGHT(B56,3)&lt;&gt;"_mc",G56&amp;"("""&amp;D56&amp;""","""&amp;B56&amp;""","""&amp;K56&amp;"""{)",B56&amp;"::"&amp;B56&amp;":"&amp;G56&amp;"("""&amp;D56&amp;""","""&amp;B56&amp;""","""&amp;K56&amp;"""{)"))</f>
        <v>Unit20_backDeath_mc::Unit20_backDeath_mc:MovieClip("unit","Unit20_backDeath_mc","Unit20_backDeath_mc"{)</v>
      </c>
      <c r="P56" s="11"/>
      <c r="Q56" s="11"/>
      <c r="R56" s="11"/>
      <c r="S56" s="11"/>
      <c r="T56" s="11"/>
      <c r="U56" s="11"/>
      <c r="V56" s="11"/>
      <c r="W56" s="11"/>
      <c r="X56" s="11"/>
    </row>
    <row r="57" spans="1:24" s="12" customFormat="1" x14ac:dyDescent="0.25">
      <c r="A57" s="11" t="s">
        <v>56</v>
      </c>
      <c r="B57" s="11" t="s">
        <v>57</v>
      </c>
      <c r="C57" s="1">
        <f t="shared" ca="1" si="13"/>
        <v>0</v>
      </c>
      <c r="D57" s="11" t="s">
        <v>7</v>
      </c>
      <c r="E57" s="11" t="s">
        <v>126</v>
      </c>
      <c r="F57" s="11"/>
      <c r="G57" s="30" t="s">
        <v>587</v>
      </c>
      <c r="H57" s="1" t="str">
        <f t="shared" ca="1" si="19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20"/>
        <v>createMovieClip</v>
      </c>
      <c r="K57" s="1" t="str">
        <f t="shared" si="32"/>
        <v>Unit21_frontDeath_mc</v>
      </c>
      <c r="L57" s="11"/>
      <c r="M57" s="11"/>
      <c r="N57" s="14" t="str">
        <f t="shared" ca="1" si="16"/>
        <v/>
      </c>
      <c r="O57" s="14" t="str">
        <f ca="1">IF(C57&gt;0,H57&amp;"= "&amp;I57&amp;"-&gt;"&amp;J57&amp;"("""&amp;K57&amp;""")"&amp;";",IF(RIGHT(B57,3)&lt;&gt;"_mc",G57&amp;"("""&amp;D57&amp;""","""&amp;B57&amp;""","""&amp;K57&amp;"""{)",B57&amp;"::"&amp;B57&amp;":"&amp;G57&amp;"("""&amp;D57&amp;""","""&amp;B57&amp;""","""&amp;K57&amp;"""{)"))</f>
        <v>Unit21_frontDeath_mc::Unit21_frontDeath_mc:MovieClip("unit","Unit21_frontDeath_mc","Unit21_frontDeath_mc"{)</v>
      </c>
      <c r="P57" s="11"/>
      <c r="Q57" s="11"/>
      <c r="R57" s="11"/>
      <c r="S57" s="11"/>
      <c r="T57" s="11"/>
      <c r="U57" s="11"/>
      <c r="V57" s="11"/>
      <c r="W57" s="11"/>
      <c r="X57" s="11"/>
    </row>
    <row r="58" spans="1:24" s="12" customFormat="1" x14ac:dyDescent="0.25">
      <c r="A58" s="11"/>
      <c r="B58" s="11" t="s">
        <v>58</v>
      </c>
      <c r="C58" s="1">
        <f t="shared" ca="1" si="13"/>
        <v>0</v>
      </c>
      <c r="D58" s="11" t="s">
        <v>7</v>
      </c>
      <c r="E58" s="11" t="s">
        <v>126</v>
      </c>
      <c r="F58" s="11"/>
      <c r="G58" s="30" t="s">
        <v>587</v>
      </c>
      <c r="H58" s="1" t="str">
        <f t="shared" ca="1" si="19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20"/>
        <v>createMovieClip</v>
      </c>
      <c r="K58" s="1" t="str">
        <f t="shared" si="32"/>
        <v>Unit21_backDeath_mc</v>
      </c>
      <c r="L58" s="11"/>
      <c r="M58" s="11"/>
      <c r="N58" s="14" t="str">
        <f t="shared" ca="1" si="16"/>
        <v/>
      </c>
      <c r="O58" s="14" t="str">
        <f ca="1">IF(C58&gt;0,H58&amp;"= "&amp;I58&amp;"-&gt;"&amp;J58&amp;"("""&amp;K58&amp;""")"&amp;";",IF(RIGHT(B58,3)&lt;&gt;"_mc",G58&amp;"("""&amp;D58&amp;""","""&amp;B58&amp;""","""&amp;K58&amp;"""{)",B58&amp;"::"&amp;B58&amp;":"&amp;G58&amp;"("""&amp;D58&amp;""","""&amp;B58&amp;""","""&amp;K58&amp;"""{)"))</f>
        <v>Unit21_backDeath_mc::Unit21_backDeath_mc:MovieClip("unit","Unit21_backDeath_mc","Unit21_backDeath_mc"{)</v>
      </c>
      <c r="P58" s="11"/>
      <c r="Q58" s="11"/>
      <c r="R58" s="11"/>
      <c r="S58" s="11"/>
      <c r="T58" s="11"/>
      <c r="U58" s="11"/>
      <c r="V58" s="11"/>
      <c r="W58" s="11"/>
      <c r="X58" s="11"/>
    </row>
    <row r="59" spans="1:24" s="12" customFormat="1" x14ac:dyDescent="0.25">
      <c r="A59" s="11" t="s">
        <v>3</v>
      </c>
      <c r="B59" s="11" t="s">
        <v>2</v>
      </c>
      <c r="C59" s="1">
        <f t="shared" ca="1" si="13"/>
        <v>0</v>
      </c>
      <c r="D59" s="11" t="s">
        <v>7</v>
      </c>
      <c r="E59" s="11" t="s">
        <v>126</v>
      </c>
      <c r="F59" s="11"/>
      <c r="G59" s="30" t="s">
        <v>587</v>
      </c>
      <c r="H59" s="1" t="str">
        <f t="shared" ca="1" si="19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20"/>
        <v>createMovieClip</v>
      </c>
      <c r="K59" s="1" t="str">
        <f t="shared" si="32"/>
        <v>BlockRadius_mc</v>
      </c>
      <c r="L59" s="11"/>
      <c r="M59" s="11"/>
      <c r="N59" s="14" t="str">
        <f t="shared" ca="1" si="16"/>
        <v/>
      </c>
      <c r="O59" s="14" t="str">
        <f ca="1">IF(C59&gt;0,H59&amp;"= "&amp;I59&amp;"-&gt;"&amp;J59&amp;"("""&amp;K59&amp;""")"&amp;";",IF(RIGHT(B59,3)&lt;&gt;"_mc",G59&amp;"("""&amp;D59&amp;""","""&amp;B59&amp;""","""&amp;K59&amp;"""{)",B59&amp;"::"&amp;B59&amp;":"&amp;G59&amp;"("""&amp;D59&amp;""","""&amp;B59&amp;""","""&amp;K59&amp;"""{)"))</f>
        <v>BlockRadius_mc::BlockRadius_mc:MovieClip("unit","BlockRadius_mc","BlockRadius_mc"{)</v>
      </c>
      <c r="P59" s="11"/>
      <c r="Q59" s="11"/>
      <c r="R59" s="11"/>
      <c r="S59" s="11"/>
      <c r="T59" s="11"/>
      <c r="U59" s="11"/>
      <c r="V59" s="11"/>
      <c r="W59" s="11"/>
      <c r="X59" s="11"/>
    </row>
    <row r="60" spans="1:24" s="12" customFormat="1" x14ac:dyDescent="0.25">
      <c r="A60" s="11" t="s">
        <v>9</v>
      </c>
      <c r="B60" s="11" t="s">
        <v>8</v>
      </c>
      <c r="C60" s="1">
        <f t="shared" ca="1" si="13"/>
        <v>0</v>
      </c>
      <c r="D60" s="11" t="s">
        <v>7</v>
      </c>
      <c r="E60" s="11" t="s">
        <v>126</v>
      </c>
      <c r="F60" s="11"/>
      <c r="G60" s="30" t="s">
        <v>587</v>
      </c>
      <c r="H60" s="1" t="str">
        <f t="shared" ca="1" si="19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20"/>
        <v>createMovieClip</v>
      </c>
      <c r="K60" s="1" t="str">
        <f t="shared" si="32"/>
        <v>RoadUnitFire_mc</v>
      </c>
      <c r="L60" s="11"/>
      <c r="M60" s="11"/>
      <c r="N60" s="14" t="str">
        <f t="shared" ca="1" si="16"/>
        <v/>
      </c>
      <c r="O60" s="14" t="str">
        <f ca="1">IF(C60&gt;0,H60&amp;"= "&amp;I60&amp;"-&gt;"&amp;J60&amp;"("""&amp;K60&amp;""")"&amp;";",IF(RIGHT(B60,3)&lt;&gt;"_mc",G60&amp;"("""&amp;D60&amp;""","""&amp;B60&amp;""","""&amp;K60&amp;"""{)",B60&amp;"::"&amp;B60&amp;":"&amp;G60&amp;"("""&amp;D60&amp;""","""&amp;B60&amp;""","""&amp;K60&amp;"""{)"))</f>
        <v>RoadUnitFire_mc::RoadUnitFire_mc:MovieClip("unit","RoadUnitFire_mc","RoadUnitFire_mc"{)</v>
      </c>
      <c r="P60" s="11"/>
      <c r="Q60" s="11"/>
      <c r="R60" s="11"/>
      <c r="S60" s="11"/>
      <c r="T60" s="11"/>
      <c r="U60" s="11"/>
      <c r="V60" s="11"/>
      <c r="W60" s="11"/>
      <c r="X60" s="11"/>
    </row>
    <row r="61" spans="1:24" s="12" customFormat="1" x14ac:dyDescent="0.25">
      <c r="A61" s="11"/>
      <c r="B61" s="11" t="s">
        <v>59</v>
      </c>
      <c r="C61" s="1">
        <f t="shared" ca="1" si="13"/>
        <v>0</v>
      </c>
      <c r="D61" s="11" t="s">
        <v>7</v>
      </c>
      <c r="E61" s="11" t="s">
        <v>126</v>
      </c>
      <c r="F61" s="11"/>
      <c r="G61" s="30" t="s">
        <v>587</v>
      </c>
      <c r="H61" s="1" t="str">
        <f t="shared" ca="1" si="19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20"/>
        <v>createMovieClip</v>
      </c>
      <c r="K61" s="1" t="str">
        <f t="shared" si="32"/>
        <v>Unit23HorisontDeath_mc</v>
      </c>
      <c r="L61" s="11"/>
      <c r="M61" s="11"/>
      <c r="N61" s="14" t="str">
        <f t="shared" ca="1" si="16"/>
        <v/>
      </c>
      <c r="O61" s="14" t="str">
        <f ca="1">IF(C61&gt;0,H61&amp;"= "&amp;I61&amp;"-&gt;"&amp;J61&amp;"("""&amp;K61&amp;""")"&amp;";",IF(RIGHT(B61,3)&lt;&gt;"_mc",G61&amp;"("""&amp;D61&amp;""","""&amp;B61&amp;""","""&amp;K61&amp;"""{)",B61&amp;"::"&amp;B61&amp;":"&amp;G61&amp;"("""&amp;D61&amp;""","""&amp;B61&amp;""","""&amp;K61&amp;"""{)"))</f>
        <v>Unit23HorisontDeath_mc::Unit23HorisontDeath_mc:MovieClip("unit","Unit23HorisontDeath_mc","Unit23HorisontDeath_mc"{)</v>
      </c>
      <c r="P61" s="11"/>
      <c r="Q61" s="11"/>
      <c r="R61" s="11"/>
      <c r="S61" s="11"/>
      <c r="T61" s="11"/>
      <c r="U61" s="11"/>
      <c r="V61" s="11"/>
      <c r="W61" s="11"/>
      <c r="X61" s="11"/>
    </row>
    <row r="62" spans="1:24" s="12" customFormat="1" x14ac:dyDescent="0.25">
      <c r="A62" s="11"/>
      <c r="B62" s="11" t="s">
        <v>60</v>
      </c>
      <c r="C62" s="1">
        <f t="shared" ca="1" si="13"/>
        <v>0</v>
      </c>
      <c r="D62" s="11" t="s">
        <v>7</v>
      </c>
      <c r="E62" s="11" t="s">
        <v>126</v>
      </c>
      <c r="F62" s="11"/>
      <c r="G62" s="30" t="s">
        <v>587</v>
      </c>
      <c r="H62" s="1" t="str">
        <f t="shared" ca="1" si="19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20"/>
        <v>createMovieClip</v>
      </c>
      <c r="K62" s="1" t="str">
        <f t="shared" si="32"/>
        <v>Unit23VerticalDeath_mc</v>
      </c>
      <c r="L62" s="11"/>
      <c r="M62" s="11"/>
      <c r="N62" s="14" t="str">
        <f t="shared" ca="1" si="16"/>
        <v/>
      </c>
      <c r="O62" s="14" t="str">
        <f ca="1">IF(C62&gt;0,H62&amp;"= "&amp;I62&amp;"-&gt;"&amp;J62&amp;"("""&amp;K62&amp;""")"&amp;";",IF(RIGHT(B62,3)&lt;&gt;"_mc",G62&amp;"("""&amp;D62&amp;""","""&amp;B62&amp;""","""&amp;K62&amp;"""{)",B62&amp;"::"&amp;B62&amp;":"&amp;G62&amp;"("""&amp;D62&amp;""","""&amp;B62&amp;""","""&amp;K62&amp;"""{)"))</f>
        <v>Unit23VerticalDeath_mc::Unit23VerticalDeath_mc:MovieClip("unit","Unit23VerticalDeath_mc","Unit23VerticalDeath_mc"{)</v>
      </c>
      <c r="P62" s="11"/>
      <c r="Q62" s="11"/>
      <c r="R62" s="11"/>
      <c r="S62" s="11"/>
      <c r="T62" s="11"/>
      <c r="U62" s="11"/>
      <c r="V62" s="11"/>
      <c r="W62" s="11"/>
      <c r="X62" s="11"/>
    </row>
    <row r="63" spans="1:24" s="12" customFormat="1" x14ac:dyDescent="0.25">
      <c r="A63" s="11" t="s">
        <v>11</v>
      </c>
      <c r="B63" s="11" t="s">
        <v>13</v>
      </c>
      <c r="C63" s="1">
        <f t="shared" ca="1" si="13"/>
        <v>0</v>
      </c>
      <c r="D63" s="11" t="s">
        <v>7</v>
      </c>
      <c r="E63" s="11" t="s">
        <v>126</v>
      </c>
      <c r="F63" s="11"/>
      <c r="G63" s="30" t="s">
        <v>587</v>
      </c>
      <c r="H63" s="1" t="str">
        <f t="shared" ca="1" si="19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20"/>
        <v>createMovieClip</v>
      </c>
      <c r="K63" s="1" t="str">
        <f t="shared" si="32"/>
        <v>RoadUnitIce_mc</v>
      </c>
      <c r="L63" s="11"/>
      <c r="M63" s="11"/>
      <c r="N63" s="14" t="str">
        <f t="shared" ca="1" si="16"/>
        <v/>
      </c>
      <c r="O63" s="14" t="str">
        <f ca="1">IF(C63&gt;0,H63&amp;"= "&amp;I63&amp;"-&gt;"&amp;J63&amp;"("""&amp;K63&amp;""")"&amp;";",IF(RIGHT(B63,3)&lt;&gt;"_mc",G63&amp;"("""&amp;D63&amp;""","""&amp;B63&amp;""","""&amp;K63&amp;"""{)",B63&amp;"::"&amp;B63&amp;":"&amp;G63&amp;"("""&amp;D63&amp;""","""&amp;B63&amp;""","""&amp;K63&amp;"""{)"))</f>
        <v>RoadUnitIce_mc::RoadUnitIce_mc:MovieClip("unit","RoadUnitIce_mc","RoadUnitIce_mc"{)</v>
      </c>
      <c r="P63" s="11"/>
      <c r="Q63" s="11"/>
      <c r="R63" s="11"/>
      <c r="S63" s="11"/>
      <c r="T63" s="11"/>
      <c r="U63" s="11"/>
      <c r="V63" s="11"/>
      <c r="W63" s="11"/>
      <c r="X63" s="11"/>
    </row>
    <row r="64" spans="1:24" s="12" customFormat="1" x14ac:dyDescent="0.25">
      <c r="A64" s="11"/>
      <c r="B64" s="11" t="s">
        <v>61</v>
      </c>
      <c r="C64" s="1">
        <f t="shared" ref="C64:C84" ca="1" si="41">indent(B64)</f>
        <v>0</v>
      </c>
      <c r="D64" s="11" t="s">
        <v>7</v>
      </c>
      <c r="E64" s="11" t="s">
        <v>126</v>
      </c>
      <c r="F64" s="11"/>
      <c r="G64" s="30" t="s">
        <v>587</v>
      </c>
      <c r="H64" s="1" t="str">
        <f t="shared" ca="1" si="19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20"/>
        <v>createMovieClip</v>
      </c>
      <c r="K64" s="1" t="str">
        <f t="shared" si="32"/>
        <v>Unit24HorisontDeath_mc</v>
      </c>
      <c r="L64" s="11"/>
      <c r="M64" s="11"/>
      <c r="N64" s="14" t="str">
        <f t="shared" ca="1" si="16"/>
        <v/>
      </c>
      <c r="O64" s="14" t="str">
        <f ca="1">IF(C64&gt;0,H64&amp;"= "&amp;I64&amp;"-&gt;"&amp;J64&amp;"("""&amp;K64&amp;""")"&amp;";",IF(RIGHT(B64,3)&lt;&gt;"_mc",G64&amp;"("""&amp;D64&amp;""","""&amp;B64&amp;""","""&amp;K64&amp;"""{)",B64&amp;"::"&amp;B64&amp;":"&amp;G64&amp;"("""&amp;D64&amp;""","""&amp;B64&amp;""","""&amp;K64&amp;"""{)"))</f>
        <v>Unit24HorisontDeath_mc::Unit24HorisontDeath_mc:MovieClip("unit","Unit24HorisontDeath_mc","Unit24HorisontDeath_mc"{)</v>
      </c>
      <c r="P64" s="11"/>
      <c r="Q64" s="11"/>
      <c r="R64" s="11"/>
      <c r="S64" s="11"/>
      <c r="T64" s="11"/>
      <c r="U64" s="11"/>
      <c r="V64" s="11"/>
      <c r="W64" s="11"/>
      <c r="X64" s="11"/>
    </row>
    <row r="65" spans="1:24" s="12" customFormat="1" x14ac:dyDescent="0.25">
      <c r="A65" s="11"/>
      <c r="B65" s="11" t="s">
        <v>62</v>
      </c>
      <c r="C65" s="1">
        <f t="shared" ca="1" si="41"/>
        <v>0</v>
      </c>
      <c r="D65" s="11" t="s">
        <v>7</v>
      </c>
      <c r="E65" s="11" t="s">
        <v>126</v>
      </c>
      <c r="F65" s="11"/>
      <c r="G65" s="30" t="s">
        <v>587</v>
      </c>
      <c r="H65" s="1" t="str">
        <f t="shared" ca="1" si="19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20"/>
        <v>createMovieClip</v>
      </c>
      <c r="K65" s="1" t="str">
        <f t="shared" si="32"/>
        <v>Unit24VerticalDeath_mc</v>
      </c>
      <c r="L65" s="11"/>
      <c r="M65" s="11"/>
      <c r="N65" s="14" t="str">
        <f t="shared" ca="1" si="16"/>
        <v/>
      </c>
      <c r="O65" s="14" t="str">
        <f ca="1">IF(C65&gt;0,H65&amp;"= "&amp;I65&amp;"-&gt;"&amp;J65&amp;"("""&amp;K65&amp;""")"&amp;";",IF(RIGHT(B65,3)&lt;&gt;"_mc",G65&amp;"("""&amp;D65&amp;""","""&amp;B65&amp;""","""&amp;K65&amp;"""{)",B65&amp;"::"&amp;B65&amp;":"&amp;G65&amp;"("""&amp;D65&amp;""","""&amp;B65&amp;""","""&amp;K65&amp;"""{)"))</f>
        <v>Unit24VerticalDeath_mc::Unit24VerticalDeath_mc:MovieClip("unit","Unit24VerticalDeath_mc","Unit24VerticalDeath_mc"{)</v>
      </c>
      <c r="P65" s="11"/>
      <c r="Q65" s="11"/>
      <c r="R65" s="11"/>
      <c r="S65" s="11"/>
      <c r="T65" s="11"/>
      <c r="U65" s="11"/>
      <c r="V65" s="11"/>
      <c r="W65" s="11"/>
      <c r="X65" s="11"/>
    </row>
    <row r="66" spans="1:24" s="12" customFormat="1" x14ac:dyDescent="0.25">
      <c r="A66" s="11" t="s">
        <v>12</v>
      </c>
      <c r="B66" s="11" t="s">
        <v>10</v>
      </c>
      <c r="C66" s="1">
        <f t="shared" ca="1" si="41"/>
        <v>0</v>
      </c>
      <c r="D66" s="11" t="s">
        <v>7</v>
      </c>
      <c r="E66" s="11" t="s">
        <v>126</v>
      </c>
      <c r="F66" s="11"/>
      <c r="G66" s="30" t="s">
        <v>587</v>
      </c>
      <c r="H66" s="1" t="str">
        <f t="shared" ca="1" si="19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20"/>
        <v>createMovieClip</v>
      </c>
      <c r="K66" s="1" t="str">
        <f t="shared" si="32"/>
        <v>RoadUnitStone_mc</v>
      </c>
      <c r="L66" s="11"/>
      <c r="M66" s="11"/>
      <c r="N66" s="14" t="str">
        <f t="shared" ca="1" si="16"/>
        <v/>
      </c>
      <c r="O66" s="14" t="str">
        <f ca="1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RoadUnitStone_mc::RoadUnitStone_mc:MovieClip("unit","RoadUnitStone_mc","RoadUnitStone_mc"{)</v>
      </c>
      <c r="P66" s="11"/>
      <c r="Q66" s="11"/>
      <c r="R66" s="11"/>
      <c r="S66" s="11"/>
      <c r="T66" s="11"/>
      <c r="U66" s="11"/>
      <c r="V66" s="11"/>
      <c r="W66" s="11"/>
      <c r="X66" s="11"/>
    </row>
    <row r="67" spans="1:24" s="12" customFormat="1" x14ac:dyDescent="0.25">
      <c r="A67" s="11"/>
      <c r="B67" s="11" t="s">
        <v>33</v>
      </c>
      <c r="C67" s="1">
        <f t="shared" ca="1" si="41"/>
        <v>0</v>
      </c>
      <c r="D67" s="11" t="s">
        <v>7</v>
      </c>
      <c r="E67" s="11" t="s">
        <v>126</v>
      </c>
      <c r="F67" s="11"/>
      <c r="G67" s="30" t="s">
        <v>587</v>
      </c>
      <c r="H67" s="1" t="str">
        <f t="shared" ca="1" si="19"/>
        <v>maskCont</v>
      </c>
      <c r="I67" s="1" t="str">
        <f ca="1">IF(C67&lt;2,"this",IF(C67=C66,I66,IF(C67&gt;C66,H66, LOOKUP(1,0/(H$24:H66=I66),I$24:I67))))</f>
        <v>this</v>
      </c>
      <c r="J67" s="1" t="str">
        <f t="shared" si="20"/>
        <v>createMovieClip</v>
      </c>
      <c r="K67" s="1" t="str">
        <f t="shared" si="32"/>
        <v>maskCont</v>
      </c>
      <c r="L67" s="11"/>
      <c r="M67" s="11"/>
      <c r="N67" s="14" t="str">
        <f t="shared" ca="1" si="16"/>
        <v/>
      </c>
      <c r="O67" s="14" t="str">
        <f ca="1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MovieClip("unit","maskCont","maskCont"{)</v>
      </c>
      <c r="P67" s="11"/>
      <c r="Q67" s="11"/>
      <c r="R67" s="11"/>
      <c r="S67" s="11"/>
      <c r="T67" s="11"/>
      <c r="U67" s="11"/>
      <c r="V67" s="11"/>
      <c r="W67" s="11"/>
      <c r="X67" s="11"/>
    </row>
    <row r="68" spans="1:24" s="12" customFormat="1" x14ac:dyDescent="0.25">
      <c r="A68" s="11"/>
      <c r="B68" s="11" t="s">
        <v>63</v>
      </c>
      <c r="C68" s="1">
        <f t="shared" ca="1" si="41"/>
        <v>0</v>
      </c>
      <c r="D68" s="11" t="s">
        <v>7</v>
      </c>
      <c r="E68" s="11" t="s">
        <v>126</v>
      </c>
      <c r="F68" s="11"/>
      <c r="G68" s="30" t="s">
        <v>587</v>
      </c>
      <c r="H68" s="1" t="str">
        <f t="shared" ca="1" si="19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20"/>
        <v>createMovieClip</v>
      </c>
      <c r="K68" s="1" t="str">
        <f t="shared" si="32"/>
        <v>Unit25HorisontDeath_mc</v>
      </c>
      <c r="L68" s="11"/>
      <c r="M68" s="11"/>
      <c r="N68" s="14" t="str">
        <f t="shared" ca="1" si="16"/>
        <v/>
      </c>
      <c r="O68" s="14" t="str">
        <f ca="1">IF(C68&gt;0,H68&amp;"= "&amp;I68&amp;"-&gt;"&amp;J68&amp;"("""&amp;K68&amp;""")"&amp;";",IF(RIGHT(B68,3)&lt;&gt;"_mc",G68&amp;"("""&amp;D68&amp;""","""&amp;B68&amp;""","""&amp;K68&amp;"""{)",B68&amp;"::"&amp;B68&amp;":"&amp;G68&amp;"("""&amp;D68&amp;""","""&amp;B68&amp;""","""&amp;K68&amp;"""{)"))</f>
        <v>Unit25HorisontDeath_mc::Unit25HorisontDeath_mc:MovieClip("unit","Unit25HorisontDeath_mc","Unit25HorisontDeath_mc"{)</v>
      </c>
      <c r="P68" s="11"/>
      <c r="Q68" s="11"/>
      <c r="R68" s="11"/>
      <c r="S68" s="11"/>
      <c r="T68" s="11"/>
      <c r="U68" s="11"/>
      <c r="V68" s="11"/>
      <c r="W68" s="11"/>
      <c r="X68" s="11"/>
    </row>
    <row r="69" spans="1:24" s="12" customFormat="1" x14ac:dyDescent="0.25">
      <c r="A69" s="11"/>
      <c r="B69" s="11" t="s">
        <v>64</v>
      </c>
      <c r="C69" s="1">
        <f t="shared" ca="1" si="41"/>
        <v>0</v>
      </c>
      <c r="D69" s="11" t="s">
        <v>7</v>
      </c>
      <c r="E69" s="11" t="s">
        <v>126</v>
      </c>
      <c r="F69" s="11"/>
      <c r="G69" s="30" t="s">
        <v>587</v>
      </c>
      <c r="H69" s="1" t="str">
        <f t="shared" ca="1" si="19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20"/>
        <v>createMovieClip</v>
      </c>
      <c r="K69" s="1" t="str">
        <f t="shared" si="32"/>
        <v>Unit25VerticalDeath_mc</v>
      </c>
      <c r="L69" s="11"/>
      <c r="M69" s="11"/>
      <c r="N69" s="14" t="str">
        <f t="shared" ca="1" si="16"/>
        <v/>
      </c>
      <c r="O69" s="14" t="str">
        <f ca="1">IF(C69&gt;0,H69&amp;"= "&amp;I69&amp;"-&gt;"&amp;J69&amp;"("""&amp;K69&amp;""")"&amp;";",IF(RIGHT(B69,3)&lt;&gt;"_mc",G69&amp;"("""&amp;D69&amp;""","""&amp;B69&amp;""","""&amp;K69&amp;"""{)",B69&amp;"::"&amp;B69&amp;":"&amp;G69&amp;"("""&amp;D69&amp;""","""&amp;B69&amp;""","""&amp;K69&amp;"""{)"))</f>
        <v>Unit25VerticalDeath_mc::Unit25VerticalDeath_mc:MovieClip("unit","Unit25VerticalDeath_mc","Unit25VerticalDeath_mc"{)</v>
      </c>
      <c r="P69" s="11"/>
      <c r="Q69" s="11"/>
      <c r="R69" s="11"/>
      <c r="S69" s="11"/>
      <c r="T69" s="11"/>
      <c r="U69" s="11"/>
      <c r="V69" s="11"/>
      <c r="W69" s="11"/>
      <c r="X69" s="11"/>
    </row>
    <row r="70" spans="1:24" s="12" customFormat="1" x14ac:dyDescent="0.25">
      <c r="A70" s="11" t="s">
        <v>15</v>
      </c>
      <c r="B70" s="11" t="s">
        <v>14</v>
      </c>
      <c r="C70" s="1">
        <f t="shared" ca="1" si="41"/>
        <v>0</v>
      </c>
      <c r="D70" s="11" t="s">
        <v>7</v>
      </c>
      <c r="E70" s="11" t="s">
        <v>126</v>
      </c>
      <c r="F70" s="11"/>
      <c r="G70" s="30" t="s">
        <v>587</v>
      </c>
      <c r="H70" s="1" t="str">
        <f t="shared" ca="1" si="19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20"/>
        <v>createMovieClip</v>
      </c>
      <c r="K70" s="1" t="str">
        <f t="shared" si="32"/>
        <v>RoadUnitLevin_mc</v>
      </c>
      <c r="L70" s="11"/>
      <c r="M70" s="11"/>
      <c r="N70" s="14" t="str">
        <f t="shared" ca="1" si="16"/>
        <v/>
      </c>
      <c r="O70" s="14" t="str">
        <f ca="1">IF(C70&gt;0,H70&amp;"= "&amp;I70&amp;"-&gt;"&amp;J70&amp;"("""&amp;K70&amp;""")"&amp;";",IF(RIGHT(B70,3)&lt;&gt;"_mc",G70&amp;"("""&amp;D70&amp;""","""&amp;B70&amp;""","""&amp;K70&amp;"""{)",B70&amp;"::"&amp;B70&amp;":"&amp;G70&amp;"("""&amp;D70&amp;""","""&amp;B70&amp;""","""&amp;K70&amp;"""{)"))</f>
        <v>RoadUnitLevin_mc::RoadUnitLevin_mc:MovieClip("unit","RoadUnitLevin_mc","RoadUnitLevin_mc"{)</v>
      </c>
      <c r="P70" s="11"/>
      <c r="Q70" s="11"/>
      <c r="R70" s="11"/>
      <c r="S70" s="11"/>
      <c r="T70" s="11"/>
      <c r="U70" s="11"/>
      <c r="V70" s="11"/>
      <c r="W70" s="11"/>
      <c r="X70" s="11"/>
    </row>
    <row r="71" spans="1:24" s="12" customFormat="1" x14ac:dyDescent="0.25">
      <c r="A71" s="11"/>
      <c r="B71" s="11" t="s">
        <v>65</v>
      </c>
      <c r="C71" s="1">
        <f t="shared" ca="1" si="41"/>
        <v>0</v>
      </c>
      <c r="D71" s="11" t="s">
        <v>7</v>
      </c>
      <c r="E71" s="11" t="s">
        <v>126</v>
      </c>
      <c r="F71" s="11"/>
      <c r="G71" s="30" t="s">
        <v>587</v>
      </c>
      <c r="H71" s="1" t="str">
        <f t="shared" ca="1" si="19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20"/>
        <v>createMovieClip</v>
      </c>
      <c r="K71" s="1" t="str">
        <f t="shared" si="32"/>
        <v>Unit26HorisontDeath_mc</v>
      </c>
      <c r="L71" s="11"/>
      <c r="M71" s="11"/>
      <c r="N71" s="14" t="str">
        <f t="shared" ca="1" si="16"/>
        <v/>
      </c>
      <c r="O71" s="14" t="str">
        <f ca="1">IF(C71&gt;0,H71&amp;"= "&amp;I71&amp;"-&gt;"&amp;J71&amp;"("""&amp;K71&amp;""")"&amp;";",IF(RIGHT(B71,3)&lt;&gt;"_mc",G71&amp;"("""&amp;D71&amp;""","""&amp;B71&amp;""","""&amp;K71&amp;"""{)",B71&amp;"::"&amp;B71&amp;":"&amp;G71&amp;"("""&amp;D71&amp;""","""&amp;B71&amp;""","""&amp;K71&amp;"""{)"))</f>
        <v>Unit26HorisontDeath_mc::Unit26HorisontDeath_mc:MovieClip("unit","Unit26HorisontDeath_mc","Unit26HorisontDeath_mc"{)</v>
      </c>
      <c r="P71" s="11"/>
      <c r="Q71" s="11"/>
      <c r="R71" s="11"/>
      <c r="S71" s="11"/>
      <c r="T71" s="11"/>
      <c r="U71" s="11"/>
      <c r="V71" s="11"/>
      <c r="W71" s="11"/>
      <c r="X71" s="11"/>
    </row>
    <row r="72" spans="1:24" s="12" customFormat="1" x14ac:dyDescent="0.25">
      <c r="A72" s="11"/>
      <c r="B72" s="11" t="s">
        <v>66</v>
      </c>
      <c r="C72" s="1">
        <f t="shared" ca="1" si="41"/>
        <v>0</v>
      </c>
      <c r="D72" s="11" t="s">
        <v>7</v>
      </c>
      <c r="E72" s="11" t="s">
        <v>126</v>
      </c>
      <c r="F72" s="11"/>
      <c r="G72" s="30" t="s">
        <v>587</v>
      </c>
      <c r="H72" s="1" t="str">
        <f t="shared" ca="1" si="19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20"/>
        <v>createMovieClip</v>
      </c>
      <c r="K72" s="1" t="str">
        <f t="shared" si="32"/>
        <v>Unit26VerticalDeath_mc</v>
      </c>
      <c r="L72" s="11"/>
      <c r="M72" s="11"/>
      <c r="N72" s="14" t="str">
        <f t="shared" ca="1" si="16"/>
        <v/>
      </c>
      <c r="O72" s="14" t="str">
        <f ca="1">IF(C72&gt;0,H72&amp;"= "&amp;I72&amp;"-&gt;"&amp;J72&amp;"("""&amp;K72&amp;""")"&amp;";",IF(RIGHT(B72,3)&lt;&gt;"_mc",G72&amp;"("""&amp;D72&amp;""","""&amp;B72&amp;""","""&amp;K72&amp;"""{)",B72&amp;"::"&amp;B72&amp;":"&amp;G72&amp;"("""&amp;D72&amp;""","""&amp;B72&amp;""","""&amp;K72&amp;"""{)"))</f>
        <v>Unit26VerticalDeath_mc::Unit26VerticalDeath_mc:MovieClip("unit","Unit26VerticalDeath_mc","Unit26VerticalDeath_mc"{)</v>
      </c>
      <c r="P72" s="11"/>
      <c r="Q72" s="11"/>
      <c r="R72" s="11"/>
      <c r="S72" s="11"/>
      <c r="T72" s="11"/>
      <c r="U72" s="11"/>
      <c r="V72" s="11"/>
      <c r="W72" s="11"/>
      <c r="X72" s="11"/>
    </row>
    <row r="73" spans="1:24" s="12" customFormat="1" x14ac:dyDescent="0.25">
      <c r="A73" s="11" t="s">
        <v>4</v>
      </c>
      <c r="B73" s="11" t="s">
        <v>0</v>
      </c>
      <c r="C73" s="1">
        <f t="shared" ca="1" si="41"/>
        <v>0</v>
      </c>
      <c r="D73" s="11" t="s">
        <v>7</v>
      </c>
      <c r="E73" s="11" t="s">
        <v>126</v>
      </c>
      <c r="F73" s="11"/>
      <c r="G73" s="30" t="s">
        <v>587</v>
      </c>
      <c r="H73" s="1" t="str">
        <f t="shared" ca="1" si="19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20"/>
        <v>createMovieClip</v>
      </c>
      <c r="K73" s="1" t="str">
        <f t="shared" si="32"/>
        <v>UnitTeleportOut_mc</v>
      </c>
      <c r="L73" s="11"/>
      <c r="M73" s="11"/>
      <c r="N73" s="14" t="str">
        <f t="shared" ca="1" si="16"/>
        <v/>
      </c>
      <c r="O73" s="14" t="str">
        <f ca="1">IF(C73&gt;0,H73&amp;"= "&amp;I73&amp;"-&gt;"&amp;J73&amp;"("""&amp;K73&amp;""")"&amp;";",IF(RIGHT(B73,3)&lt;&gt;"_mc",G73&amp;"("""&amp;D73&amp;""","""&amp;B73&amp;""","""&amp;K73&amp;"""{)",B73&amp;"::"&amp;B73&amp;":"&amp;G73&amp;"("""&amp;D73&amp;""","""&amp;B73&amp;""","""&amp;K73&amp;"""{)"))</f>
        <v>UnitTeleportOut_mc::UnitTeleportOut_mc:MovieClip("unit","UnitTeleportOut_mc","UnitTeleportOut_mc"{)</v>
      </c>
      <c r="P73" s="11"/>
      <c r="Q73" s="11"/>
      <c r="R73" s="11"/>
      <c r="S73" s="11"/>
      <c r="T73" s="11"/>
      <c r="U73" s="11"/>
      <c r="V73" s="11"/>
      <c r="W73" s="11"/>
      <c r="X73" s="11"/>
    </row>
    <row r="74" spans="1:24" s="12" customFormat="1" x14ac:dyDescent="0.25">
      <c r="A74" s="11"/>
      <c r="B74" s="11" t="s">
        <v>1</v>
      </c>
      <c r="C74" s="1">
        <f t="shared" ca="1" si="41"/>
        <v>0</v>
      </c>
      <c r="D74" s="11" t="s">
        <v>7</v>
      </c>
      <c r="E74" s="11" t="s">
        <v>126</v>
      </c>
      <c r="F74" s="11"/>
      <c r="G74" s="30" t="s">
        <v>587</v>
      </c>
      <c r="H74" s="1" t="str">
        <f t="shared" ca="1" si="19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20"/>
        <v>createMovieClip</v>
      </c>
      <c r="K74" s="1" t="str">
        <f t="shared" si="32"/>
        <v>UnitTeleportIn_mc</v>
      </c>
      <c r="L74" s="11"/>
      <c r="M74" s="11"/>
      <c r="N74" s="14" t="str">
        <f t="shared" ca="1" si="16"/>
        <v/>
      </c>
      <c r="O74" s="14" t="str">
        <f ca="1">IF(C74&gt;0,H74&amp;"= "&amp;I74&amp;"-&gt;"&amp;J74&amp;"("""&amp;K74&amp;""")"&amp;";",IF(RIGHT(B74,3)&lt;&gt;"_mc",G74&amp;"("""&amp;D74&amp;""","""&amp;B74&amp;""","""&amp;K74&amp;"""{)",B74&amp;"::"&amp;B74&amp;":"&amp;G74&amp;"("""&amp;D74&amp;""","""&amp;B74&amp;""","""&amp;K74&amp;"""{)"))</f>
        <v>UnitTeleportIn_mc::UnitTeleportIn_mc:MovieClip("unit","UnitTeleportIn_mc","UnitTeleportIn_mc"{)</v>
      </c>
      <c r="P74" s="11"/>
      <c r="Q74" s="11"/>
      <c r="R74" s="11"/>
      <c r="S74" s="11"/>
      <c r="T74" s="11"/>
      <c r="U74" s="11"/>
      <c r="V74" s="11"/>
      <c r="W74" s="11"/>
      <c r="X74" s="11"/>
    </row>
    <row r="75" spans="1:24" s="12" customFormat="1" x14ac:dyDescent="0.25">
      <c r="A75" s="11" t="s">
        <v>25</v>
      </c>
      <c r="B75" s="11" t="s">
        <v>26</v>
      </c>
      <c r="C75" s="1">
        <f t="shared" ca="1" si="41"/>
        <v>0</v>
      </c>
      <c r="D75" s="11" t="s">
        <v>7</v>
      </c>
      <c r="E75" s="11" t="s">
        <v>126</v>
      </c>
      <c r="F75" s="11"/>
      <c r="G75" s="30" t="s">
        <v>587</v>
      </c>
      <c r="H75" s="1" t="str">
        <f t="shared" ca="1" si="19"/>
        <v>giveHealth1</v>
      </c>
      <c r="I75" s="1" t="str">
        <f ca="1">IF(C75&lt;2,"this",IF(C75=C74,I74,IF(C75&gt;C74,H74, LOOKUP(1,0/(H$24:H74=I74),I$24:I75))))</f>
        <v>this</v>
      </c>
      <c r="J75" s="1" t="str">
        <f t="shared" si="20"/>
        <v>createMovieClip</v>
      </c>
      <c r="K75" s="1" t="str">
        <f t="shared" si="32"/>
        <v>giveHealth1</v>
      </c>
      <c r="L75" s="11"/>
      <c r="M75" s="11"/>
      <c r="N75" s="14" t="str">
        <f t="shared" ca="1" si="16"/>
        <v/>
      </c>
      <c r="O75" s="14" t="str">
        <f ca="1">IF(C75&gt;0,H75&amp;"= "&amp;I75&amp;"-&gt;"&amp;J75&amp;"("""&amp;K75&amp;""")"&amp;";",IF(RIGHT(B75,3)&lt;&gt;"_mc",G75&amp;"("""&amp;D75&amp;""","""&amp;B75&amp;""","""&amp;K75&amp;"""{)",B75&amp;"::"&amp;B75&amp;":"&amp;G75&amp;"("""&amp;D75&amp;""","""&amp;B75&amp;""","""&amp;K75&amp;"""{)"))</f>
        <v>MovieClip("unit","giveHealth1","giveHealth1"{)</v>
      </c>
      <c r="P75" s="11"/>
      <c r="Q75" s="11"/>
      <c r="R75" s="11"/>
      <c r="S75" s="11"/>
      <c r="T75" s="11"/>
      <c r="U75" s="11"/>
      <c r="V75" s="11"/>
      <c r="W75" s="11"/>
      <c r="X75" s="11"/>
    </row>
    <row r="76" spans="1:24" s="12" customFormat="1" x14ac:dyDescent="0.25">
      <c r="A76" s="11"/>
      <c r="B76" s="11" t="s">
        <v>27</v>
      </c>
      <c r="C76" s="1">
        <f t="shared" ca="1" si="41"/>
        <v>0</v>
      </c>
      <c r="D76" s="11" t="s">
        <v>7</v>
      </c>
      <c r="E76" s="11" t="s">
        <v>126</v>
      </c>
      <c r="F76" s="11"/>
      <c r="G76" s="30" t="s">
        <v>587</v>
      </c>
      <c r="H76" s="1" t="str">
        <f t="shared" ca="1" si="19"/>
        <v>giveHealth2</v>
      </c>
      <c r="I76" s="1" t="str">
        <f ca="1">IF(C76&lt;2,"this",IF(C76=C75,I75,IF(C76&gt;C75,H75, LOOKUP(1,0/(H$24:H75=I75),I$24:I76))))</f>
        <v>this</v>
      </c>
      <c r="J76" s="1" t="str">
        <f t="shared" si="20"/>
        <v>createMovieClip</v>
      </c>
      <c r="K76" s="1" t="str">
        <f t="shared" si="32"/>
        <v>giveHealth2</v>
      </c>
      <c r="L76" s="11"/>
      <c r="M76" s="11"/>
      <c r="N76" s="14" t="str">
        <f t="shared" ca="1" si="16"/>
        <v/>
      </c>
      <c r="O76" s="14" t="str">
        <f ca="1">IF(C76&gt;0,H76&amp;"= "&amp;I76&amp;"-&gt;"&amp;J76&amp;"("""&amp;K76&amp;""")"&amp;";",IF(RIGHT(B76,3)&lt;&gt;"_mc",G76&amp;"("""&amp;D76&amp;""","""&amp;B76&amp;""","""&amp;K76&amp;"""{)",B76&amp;"::"&amp;B76&amp;":"&amp;G76&amp;"("""&amp;D76&amp;""","""&amp;B76&amp;""","""&amp;K76&amp;"""{)"))</f>
        <v>MovieClip("unit","giveHealth2","giveHealth2"{)</v>
      </c>
      <c r="P76" s="11"/>
      <c r="Q76" s="11"/>
      <c r="R76" s="11"/>
      <c r="S76" s="11"/>
      <c r="T76" s="11"/>
      <c r="U76" s="11"/>
      <c r="V76" s="11"/>
      <c r="W76" s="11"/>
      <c r="X76" s="11"/>
    </row>
    <row r="77" spans="1:24" s="12" customFormat="1" x14ac:dyDescent="0.25">
      <c r="A77" s="11"/>
      <c r="B77" s="11" t="s">
        <v>28</v>
      </c>
      <c r="C77" s="1">
        <f t="shared" ca="1" si="41"/>
        <v>0</v>
      </c>
      <c r="D77" s="11" t="s">
        <v>7</v>
      </c>
      <c r="E77" s="11" t="s">
        <v>126</v>
      </c>
      <c r="F77" s="11"/>
      <c r="G77" s="30" t="s">
        <v>587</v>
      </c>
      <c r="H77" s="1" t="str">
        <f t="shared" ca="1" si="19"/>
        <v>giveHealth3</v>
      </c>
      <c r="I77" s="1" t="str">
        <f ca="1">IF(C77&lt;2,"this",IF(C77=C76,I76,IF(C77&gt;C76,H76, LOOKUP(1,0/(H$24:H76=I76),I$24:I77))))</f>
        <v>this</v>
      </c>
      <c r="J77" s="1" t="str">
        <f t="shared" si="20"/>
        <v>createMovieClip</v>
      </c>
      <c r="K77" s="1" t="str">
        <f t="shared" si="32"/>
        <v>giveHealth3</v>
      </c>
      <c r="L77" s="11"/>
      <c r="M77" s="11"/>
      <c r="N77" s="14" t="str">
        <f t="shared" ca="1" si="16"/>
        <v/>
      </c>
      <c r="O77" s="14" t="str">
        <f ca="1">IF(C77&gt;0,H77&amp;"= "&amp;I77&amp;"-&gt;"&amp;J77&amp;"("""&amp;K77&amp;""")"&amp;";",IF(RIGHT(B77,3)&lt;&gt;"_mc",G77&amp;"("""&amp;D77&amp;""","""&amp;B77&amp;""","""&amp;K77&amp;"""{)",B77&amp;"::"&amp;B77&amp;":"&amp;G77&amp;"("""&amp;D77&amp;""","""&amp;B77&amp;""","""&amp;K77&amp;"""{)"))</f>
        <v>MovieClip("unit","giveHealth3","giveHealth3"{)</v>
      </c>
      <c r="P77" s="11"/>
      <c r="Q77" s="11"/>
      <c r="R77" s="11"/>
      <c r="S77" s="11"/>
      <c r="T77" s="11"/>
      <c r="U77" s="11"/>
      <c r="V77" s="11"/>
      <c r="W77" s="11"/>
      <c r="X77" s="11"/>
    </row>
    <row r="78" spans="1:24" s="12" customFormat="1" x14ac:dyDescent="0.25">
      <c r="A78" s="11" t="s">
        <v>30</v>
      </c>
      <c r="B78" s="11" t="s">
        <v>29</v>
      </c>
      <c r="C78" s="1">
        <f t="shared" ca="1" si="41"/>
        <v>0</v>
      </c>
      <c r="D78" s="11" t="s">
        <v>7</v>
      </c>
      <c r="E78" s="11" t="s">
        <v>126</v>
      </c>
      <c r="F78" s="11"/>
      <c r="G78" s="30" t="s">
        <v>587</v>
      </c>
      <c r="H78" s="1" t="str">
        <f t="shared" ca="1" si="19"/>
        <v>dustAnima</v>
      </c>
      <c r="I78" s="1" t="str">
        <f ca="1">IF(C78&lt;2,"this",IF(C78=C77,I77,IF(C78&gt;C77,H77, LOOKUP(1,0/(H$24:H77=I77),I$24:I78))))</f>
        <v>this</v>
      </c>
      <c r="J78" s="1" t="str">
        <f t="shared" si="20"/>
        <v>createMovieClip</v>
      </c>
      <c r="K78" s="1" t="str">
        <f t="shared" si="32"/>
        <v>dustAnima</v>
      </c>
      <c r="L78" s="11"/>
      <c r="M78" s="11"/>
      <c r="N78" s="14" t="str">
        <f t="shared" ca="1" si="16"/>
        <v/>
      </c>
      <c r="O78" s="14" t="str">
        <f ca="1">IF(C78&gt;0,H78&amp;"= "&amp;I78&amp;"-&gt;"&amp;J78&amp;"("""&amp;K78&amp;""")"&amp;";",IF(RIGHT(B78,3)&lt;&gt;"_mc",G78&amp;"("""&amp;D78&amp;""","""&amp;B78&amp;""","""&amp;K78&amp;"""{)",B78&amp;"::"&amp;B78&amp;":"&amp;G78&amp;"("""&amp;D78&amp;""","""&amp;B78&amp;""","""&amp;K78&amp;"""{)"))</f>
        <v>MovieClip("unit","dustAnima","dustAnima"{)</v>
      </c>
      <c r="P78" s="11"/>
      <c r="Q78" s="11"/>
      <c r="R78" s="11"/>
      <c r="S78" s="11"/>
      <c r="T78" s="11"/>
      <c r="U78" s="11"/>
      <c r="V78" s="11"/>
      <c r="W78" s="11"/>
      <c r="X78" s="11"/>
    </row>
    <row r="79" spans="1:24" s="12" customFormat="1" x14ac:dyDescent="0.25">
      <c r="A79" s="11" t="s">
        <v>31</v>
      </c>
      <c r="B79" s="11" t="s">
        <v>29</v>
      </c>
      <c r="C79" s="1">
        <f t="shared" ca="1" si="41"/>
        <v>0</v>
      </c>
      <c r="D79" s="11" t="s">
        <v>7</v>
      </c>
      <c r="E79" s="11" t="s">
        <v>126</v>
      </c>
      <c r="F79" s="11"/>
      <c r="G79" s="30" t="s">
        <v>587</v>
      </c>
      <c r="H79" s="1" t="str">
        <f t="shared" ca="1" si="19"/>
        <v>dustAnima</v>
      </c>
      <c r="I79" s="1" t="str">
        <f ca="1">IF(C79&lt;2,"this",IF(C79=C78,I78,IF(C79&gt;C78,H78, LOOKUP(1,0/(H$24:H78=I78),I$24:I79))))</f>
        <v>this</v>
      </c>
      <c r="J79" s="1" t="str">
        <f t="shared" si="20"/>
        <v>createMovieClip</v>
      </c>
      <c r="K79" s="1" t="str">
        <f t="shared" si="32"/>
        <v>dustAnima</v>
      </c>
      <c r="L79" s="11"/>
      <c r="M79" s="11"/>
      <c r="N79" s="14" t="str">
        <f t="shared" ca="1" si="16"/>
        <v/>
      </c>
      <c r="O79" s="14" t="str">
        <f ca="1">IF(C79&gt;0,H79&amp;"= "&amp;I79&amp;"-&gt;"&amp;J79&amp;"("""&amp;K79&amp;""")"&amp;";",IF(RIGHT(B79,3)&lt;&gt;"_mc",G79&amp;"("""&amp;D79&amp;""","""&amp;B79&amp;""","""&amp;K79&amp;"""{)",B79&amp;"::"&amp;B79&amp;":"&amp;G79&amp;"("""&amp;D79&amp;""","""&amp;B79&amp;""","""&amp;K79&amp;"""{)"))</f>
        <v>MovieClip("unit","dustAnima","dustAnima"{)</v>
      </c>
      <c r="P79" s="11"/>
      <c r="Q79" s="11"/>
      <c r="R79" s="11"/>
      <c r="S79" s="11"/>
      <c r="T79" s="11"/>
      <c r="U79" s="11"/>
      <c r="V79" s="11"/>
      <c r="W79" s="11"/>
      <c r="X79" s="11"/>
    </row>
    <row r="80" spans="1:24" s="12" customFormat="1" x14ac:dyDescent="0.25">
      <c r="A80" s="11" t="s">
        <v>16</v>
      </c>
      <c r="B80" s="11" t="s">
        <v>67</v>
      </c>
      <c r="C80" s="1">
        <f t="shared" ca="1" si="41"/>
        <v>0</v>
      </c>
      <c r="D80" s="11" t="s">
        <v>7</v>
      </c>
      <c r="E80" s="11" t="s">
        <v>126</v>
      </c>
      <c r="F80" s="11"/>
      <c r="G80" s="30" t="s">
        <v>587</v>
      </c>
      <c r="H80" s="1" t="str">
        <f t="shared" ca="1" si="19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20"/>
        <v>createMovieClip</v>
      </c>
      <c r="K80" s="1" t="str">
        <f t="shared" si="32"/>
        <v>Unit34Death_mc</v>
      </c>
      <c r="L80" s="11"/>
      <c r="M80" s="11"/>
      <c r="N80" s="14" t="str">
        <f t="shared" ca="1" si="16"/>
        <v/>
      </c>
      <c r="O80" s="14" t="str">
        <f ca="1">IF(C80&gt;0,H80&amp;"= "&amp;I80&amp;"-&gt;"&amp;J80&amp;"("""&amp;K80&amp;""")"&amp;";",IF(RIGHT(B80,3)&lt;&gt;"_mc",G80&amp;"("""&amp;D80&amp;""","""&amp;B80&amp;""","""&amp;K80&amp;"""{)",B80&amp;"::"&amp;B80&amp;":"&amp;G80&amp;"("""&amp;D80&amp;""","""&amp;B80&amp;""","""&amp;K80&amp;"""{)"))</f>
        <v>Unit34Death_mc::Unit34Death_mc:MovieClip("unit","Unit34Death_mc","Unit34Death_mc"{)</v>
      </c>
      <c r="P80" s="11"/>
      <c r="Q80" s="11"/>
      <c r="R80" s="11"/>
      <c r="S80" s="11"/>
      <c r="T80" s="11"/>
      <c r="U80" s="11"/>
      <c r="V80" s="11"/>
      <c r="W80" s="11"/>
      <c r="X80" s="11"/>
    </row>
    <row r="81" spans="1:24" s="12" customFormat="1" x14ac:dyDescent="0.25">
      <c r="A81" s="11" t="s">
        <v>120</v>
      </c>
      <c r="B81" s="11" t="s">
        <v>123</v>
      </c>
      <c r="C81" s="1">
        <f t="shared" ca="1" si="41"/>
        <v>0</v>
      </c>
      <c r="D81" s="11" t="s">
        <v>7</v>
      </c>
      <c r="E81" s="11"/>
      <c r="F81" s="11" t="s">
        <v>723</v>
      </c>
      <c r="G81" s="30" t="s">
        <v>587</v>
      </c>
      <c r="H81" s="1" t="str">
        <f t="shared" ca="1" si="19"/>
        <v>NewEnemy_mc</v>
      </c>
      <c r="I81" s="1" t="str">
        <f ca="1">IF(C81&lt;2,"this",IF(C81=C80,I80,IF(C81&gt;C80,H80, LOOKUP(1,0/(H$24:H80=I80),I$24:I81))))</f>
        <v>this</v>
      </c>
      <c r="J81" s="1" t="str">
        <f t="shared" si="20"/>
        <v>createMovieClip</v>
      </c>
      <c r="K81" s="1" t="str">
        <f t="shared" si="32"/>
        <v>NewEnemy_mc</v>
      </c>
      <c r="L81" s="11"/>
      <c r="M81" s="11"/>
      <c r="N81" s="14" t="str">
        <f t="shared" ca="1" si="16"/>
        <v/>
      </c>
      <c r="O81" s="14" t="str">
        <f ca="1">IF(C81&gt;0,H81&amp;"= "&amp;I81&amp;"-&gt;"&amp;J81&amp;"("""&amp;K81&amp;""")"&amp;";",IF(RIGHT(B81,3)&lt;&gt;"_mc",G81&amp;"("""&amp;D81&amp;""","""&amp;B81&amp;""","""&amp;K81&amp;"""{)",B81&amp;"::"&amp;B81&amp;":"&amp;G81&amp;"("""&amp;D81&amp;""","""&amp;B81&amp;""","""&amp;K81&amp;"""{)"))</f>
        <v>NewEnemy_mc::NewEnemy_mc:MovieClip("unit","NewEnemy_mc","NewEnemy_mc"{)</v>
      </c>
      <c r="P81" s="11"/>
      <c r="Q81" s="11"/>
      <c r="R81" s="11"/>
      <c r="S81" s="11"/>
      <c r="T81" s="11"/>
      <c r="U81" s="11"/>
      <c r="V81" s="11"/>
      <c r="W81" s="11"/>
      <c r="X81" s="11"/>
    </row>
    <row r="82" spans="1:24" s="10" customFormat="1" x14ac:dyDescent="0.25">
      <c r="A82" s="8"/>
      <c r="B82" s="9" t="s">
        <v>118</v>
      </c>
      <c r="C82" s="1">
        <f t="shared" ca="1" si="41"/>
        <v>1</v>
      </c>
      <c r="D82" s="8" t="s">
        <v>7</v>
      </c>
      <c r="E82" s="1"/>
      <c r="F82" s="1" t="s">
        <v>723</v>
      </c>
      <c r="G82" s="30" t="s">
        <v>677</v>
      </c>
      <c r="H82" s="1" t="str">
        <f t="shared" ca="1" si="19"/>
        <v>newEnemyCase</v>
      </c>
      <c r="I82" s="1" t="str">
        <f ca="1">IF(C82&lt;2,"this",IF(C82=C81,I81,IF(C82&gt;C81,H81, LOOKUP(1,0/(H$24:H81=I81),I$24:I82))))</f>
        <v>this</v>
      </c>
      <c r="J82" s="1" t="str">
        <f t="shared" si="20"/>
        <v>createCase</v>
      </c>
      <c r="K82" s="1" t="str">
        <f t="shared" si="32"/>
        <v>newEnemyCase</v>
      </c>
      <c r="L82" s="8"/>
      <c r="M82" s="8"/>
      <c r="N82" s="14" t="str">
        <f t="shared" ca="1" si="16"/>
        <v>MCCase * newEnemyCase;</v>
      </c>
      <c r="O82" s="14" t="str">
        <f ca="1">IF(C82&gt;0,H82&amp;"= "&amp;I82&amp;"-&gt;"&amp;J82&amp;"("""&amp;K82&amp;""")"&amp;";",IF(RIGHT(B82,3)&lt;&gt;"_mc",G82&amp;"("""&amp;D82&amp;""","""&amp;B82&amp;""","""&amp;K82&amp;"""{)",B82&amp;"::"&amp;B82&amp;":"&amp;G82&amp;"("""&amp;D82&amp;""","""&amp;B82&amp;""","""&amp;K82&amp;"""{)"))</f>
        <v>newEnemyCase= this-&gt;createCase("newEnemyCase");</v>
      </c>
      <c r="P82" s="8"/>
      <c r="Q82" s="8"/>
      <c r="R82" s="8"/>
      <c r="S82" s="8"/>
      <c r="T82" s="8"/>
      <c r="U82" s="8"/>
      <c r="V82" s="8"/>
      <c r="W82" s="8"/>
      <c r="X82" s="8"/>
    </row>
    <row r="83" spans="1:24" s="12" customFormat="1" x14ac:dyDescent="0.25">
      <c r="A83" s="11" t="s">
        <v>121</v>
      </c>
      <c r="B83" s="11" t="s">
        <v>122</v>
      </c>
      <c r="C83" s="1">
        <f t="shared" ca="1" si="41"/>
        <v>0</v>
      </c>
      <c r="D83" s="11" t="s">
        <v>7</v>
      </c>
      <c r="E83" s="11"/>
      <c r="F83" s="11" t="s">
        <v>723</v>
      </c>
      <c r="G83" s="30" t="s">
        <v>587</v>
      </c>
      <c r="H83" s="1" t="str">
        <f t="shared" ca="1" si="19"/>
        <v>NewElement_mc</v>
      </c>
      <c r="I83" s="1" t="str">
        <f ca="1">IF(C83&lt;2,"this",IF(C83=C82,I82,IF(C83&gt;C82,H82, LOOKUP(1,0/(H$24:H82=I82),I$24:I83))))</f>
        <v>this</v>
      </c>
      <c r="J83" s="1" t="str">
        <f t="shared" si="20"/>
        <v>createMovieClip</v>
      </c>
      <c r="K83" s="1" t="str">
        <f t="shared" si="32"/>
        <v>NewElement_mc</v>
      </c>
      <c r="L83" s="11"/>
      <c r="M83" s="11"/>
      <c r="N83" s="14" t="str">
        <f t="shared" ca="1" si="16"/>
        <v/>
      </c>
      <c r="O83" s="14" t="str">
        <f ca="1">IF(C83&gt;0,H83&amp;"= "&amp;I83&amp;"-&gt;"&amp;J83&amp;"("""&amp;K83&amp;""")"&amp;";",IF(RIGHT(B83,3)&lt;&gt;"_mc",G83&amp;"("""&amp;D83&amp;""","""&amp;B83&amp;""","""&amp;K83&amp;"""{)",B83&amp;"::"&amp;B83&amp;":"&amp;G83&amp;"("""&amp;D83&amp;""","""&amp;B83&amp;""","""&amp;K83&amp;"""{)"))</f>
        <v>NewElement_mc::NewElement_mc:MovieClip("unit","NewElement_mc","NewElement_mc"{)</v>
      </c>
      <c r="P83" s="11"/>
      <c r="Q83" s="11"/>
      <c r="R83" s="11"/>
      <c r="S83" s="11"/>
      <c r="T83" s="11"/>
      <c r="U83" s="11"/>
      <c r="V83" s="11"/>
      <c r="W83" s="11"/>
      <c r="X83" s="11"/>
    </row>
    <row r="84" spans="1:24" s="10" customFormat="1" x14ac:dyDescent="0.25">
      <c r="A84" s="8"/>
      <c r="B84" s="9" t="s">
        <v>119</v>
      </c>
      <c r="C84" s="1">
        <f t="shared" ca="1" si="41"/>
        <v>1</v>
      </c>
      <c r="D84" s="8" t="s">
        <v>7</v>
      </c>
      <c r="E84" s="1"/>
      <c r="F84" s="1" t="s">
        <v>723</v>
      </c>
      <c r="G84" s="30" t="s">
        <v>677</v>
      </c>
      <c r="H84" s="1" t="str">
        <f t="shared" ca="1" si="19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20"/>
        <v>createCase</v>
      </c>
      <c r="K84" s="1" t="str">
        <f t="shared" si="32"/>
        <v>newElementCase</v>
      </c>
      <c r="L84" s="8"/>
      <c r="M84" s="8"/>
      <c r="N84" s="14" t="str">
        <f t="shared" ca="1" si="16"/>
        <v>MCCase * newElementCase;</v>
      </c>
      <c r="O84" s="14" t="str">
        <f ca="1">IF(C84&gt;0,H84&amp;"= "&amp;I84&amp;"-&gt;"&amp;J84&amp;"("""&amp;K84&amp;""")"&amp;";",IF(RIGHT(B84,3)&lt;&gt;"_mc",G84&amp;"("""&amp;D84&amp;""","""&amp;B84&amp;""","""&amp;K84&amp;"""{)",B84&amp;"::"&amp;B84&amp;":"&amp;G84&amp;"("""&amp;D84&amp;""","""&amp;B84&amp;""","""&amp;K84&amp;"""{)"))</f>
        <v>newElementCase= this-&gt;createCase("newElementCase");</v>
      </c>
      <c r="P84" s="8"/>
      <c r="Q84" s="8"/>
      <c r="R84" s="8"/>
      <c r="S84" s="8"/>
      <c r="T84" s="8"/>
      <c r="U84" s="8"/>
      <c r="V84" s="8"/>
      <c r="W84" s="8"/>
      <c r="X84" s="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3"/>
  <sheetViews>
    <sheetView zoomScale="85" zoomScaleNormal="8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O12" sqref="O1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769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s="12" customFormat="1" ht="13.8" customHeight="1" x14ac:dyDescent="0.25">
      <c r="A2" s="11" t="s">
        <v>42</v>
      </c>
      <c r="B2" s="11" t="s">
        <v>47</v>
      </c>
      <c r="C2" s="1">
        <f t="shared" ref="C2:C33" ca="1" si="0">indent(B2)</f>
        <v>0</v>
      </c>
      <c r="D2" s="11" t="s">
        <v>36</v>
      </c>
      <c r="E2" s="11" t="s">
        <v>708</v>
      </c>
      <c r="F2" s="11" t="s">
        <v>705</v>
      </c>
      <c r="G2" s="21" t="s">
        <v>587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706</v>
      </c>
      <c r="L2" s="11" t="str">
        <f>B2</f>
        <v>Golem1_mc</v>
      </c>
      <c r="M2" s="11"/>
      <c r="N2" s="14" t="str">
        <f ca="1">IF(C2&gt;0,G2 &amp; " * "&amp;H2 &amp;";","")</f>
        <v/>
      </c>
      <c r="O2" s="14" t="str">
        <f t="shared" ref="O2:O33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Golem1_mc::Golem1_mc:MovieClip("cast/","Golem1_mc","Golem_mc"{)</v>
      </c>
    </row>
    <row r="3" spans="1:24" s="12" customFormat="1" x14ac:dyDescent="0.25">
      <c r="A3" s="11"/>
      <c r="B3" s="13" t="s">
        <v>21</v>
      </c>
      <c r="C3" s="1">
        <f t="shared" ca="1" si="0"/>
        <v>1</v>
      </c>
      <c r="D3" s="11" t="s">
        <v>36</v>
      </c>
      <c r="E3" s="11" t="s">
        <v>708</v>
      </c>
      <c r="F3" s="11" t="s">
        <v>705</v>
      </c>
      <c r="G3" s="1" t="s">
        <v>586</v>
      </c>
      <c r="H3" s="1" t="str">
        <f t="shared" ref="H3:H33" ca="1" si="2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3">CONCATENATE("create",IF(LEFT(G3,2)="MC",MID(G3,3,LEN(G3)),G3))</f>
        <v>createMovieClipSub</v>
      </c>
      <c r="K3" s="13" t="s">
        <v>21</v>
      </c>
      <c r="L3" s="11" t="str">
        <f t="shared" ref="L3:L9" si="4">B3</f>
        <v>dust1</v>
      </c>
      <c r="M3" s="11"/>
      <c r="N3" s="14" t="str">
        <f t="shared" ref="N3:N33" ca="1" si="5">IF(C3&gt;0,G3 &amp; " * "&amp;H3 &amp;";","")</f>
        <v>MovieClipSub * dust1;</v>
      </c>
      <c r="O3" s="14" t="str">
        <f t="shared" ca="1" si="1"/>
        <v>dust1= this-&gt;createMovieClipSub("dust1");</v>
      </c>
    </row>
    <row r="4" spans="1:24" s="12" customFormat="1" x14ac:dyDescent="0.25">
      <c r="A4" s="11"/>
      <c r="B4" s="13" t="s">
        <v>22</v>
      </c>
      <c r="C4" s="1">
        <f t="shared" ca="1" si="0"/>
        <v>1</v>
      </c>
      <c r="D4" s="11" t="s">
        <v>36</v>
      </c>
      <c r="E4" s="11" t="s">
        <v>708</v>
      </c>
      <c r="F4" s="11" t="s">
        <v>705</v>
      </c>
      <c r="G4" s="1" t="s">
        <v>586</v>
      </c>
      <c r="H4" s="1" t="str">
        <f t="shared" ca="1" si="2"/>
        <v>dust2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3" t="s">
        <v>22</v>
      </c>
      <c r="L4" s="11" t="str">
        <f t="shared" si="4"/>
        <v>dust2</v>
      </c>
      <c r="M4" s="11"/>
      <c r="N4" s="14" t="str">
        <f t="shared" ca="1" si="5"/>
        <v>MovieClipSub * dust2;</v>
      </c>
      <c r="O4" s="14" t="str">
        <f t="shared" ca="1" si="1"/>
        <v>dust2= this-&gt;createMovieClipSub("dust2");</v>
      </c>
    </row>
    <row r="5" spans="1:24" s="12" customFormat="1" x14ac:dyDescent="0.25">
      <c r="A5" s="11"/>
      <c r="B5" s="11" t="s">
        <v>45</v>
      </c>
      <c r="C5" s="1">
        <f t="shared" ca="1" si="0"/>
        <v>0</v>
      </c>
      <c r="D5" s="11" t="s">
        <v>36</v>
      </c>
      <c r="E5" s="11" t="s">
        <v>708</v>
      </c>
      <c r="F5" s="11" t="s">
        <v>705</v>
      </c>
      <c r="G5" s="21" t="s">
        <v>587</v>
      </c>
      <c r="H5" s="1" t="str">
        <f t="shared" ca="1" si="2"/>
        <v>Golem2_mc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">
        <v>706</v>
      </c>
      <c r="L5" s="11" t="str">
        <f t="shared" si="4"/>
        <v>Golem2_mc</v>
      </c>
      <c r="M5" s="11"/>
      <c r="N5" s="14" t="str">
        <f t="shared" ca="1" si="5"/>
        <v/>
      </c>
      <c r="O5" s="14" t="str">
        <f t="shared" ca="1" si="1"/>
        <v>Golem2_mc::Golem2_mc:MovieClip("cast/","Golem2_mc","Golem_mc"{)</v>
      </c>
    </row>
    <row r="6" spans="1:24" s="12" customFormat="1" x14ac:dyDescent="0.25">
      <c r="A6" s="11"/>
      <c r="B6" s="13" t="s">
        <v>21</v>
      </c>
      <c r="C6" s="1">
        <f t="shared" ca="1" si="0"/>
        <v>1</v>
      </c>
      <c r="D6" s="11" t="s">
        <v>36</v>
      </c>
      <c r="E6" s="11" t="s">
        <v>708</v>
      </c>
      <c r="F6" s="11" t="s">
        <v>705</v>
      </c>
      <c r="G6" s="1" t="s">
        <v>586</v>
      </c>
      <c r="H6" s="1" t="str">
        <f t="shared" ca="1" si="2"/>
        <v>dust1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3" t="s">
        <v>21</v>
      </c>
      <c r="L6" s="11" t="str">
        <f t="shared" si="4"/>
        <v>dust1</v>
      </c>
      <c r="M6" s="11"/>
      <c r="N6" s="14" t="str">
        <f t="shared" ca="1" si="5"/>
        <v>MovieClipSub * dust1;</v>
      </c>
      <c r="O6" s="14" t="str">
        <f t="shared" ca="1" si="1"/>
        <v>dust1= this-&gt;createMovieClipSub("dust1");</v>
      </c>
    </row>
    <row r="7" spans="1:24" s="12" customFormat="1" x14ac:dyDescent="0.25">
      <c r="A7" s="11"/>
      <c r="B7" s="13" t="s">
        <v>22</v>
      </c>
      <c r="C7" s="1">
        <f t="shared" ca="1" si="0"/>
        <v>1</v>
      </c>
      <c r="D7" s="11" t="s">
        <v>36</v>
      </c>
      <c r="E7" s="11" t="s">
        <v>708</v>
      </c>
      <c r="F7" s="11" t="s">
        <v>705</v>
      </c>
      <c r="G7" s="1" t="s">
        <v>586</v>
      </c>
      <c r="H7" s="1" t="str">
        <f t="shared" ca="1" si="2"/>
        <v>dust2</v>
      </c>
      <c r="I7" s="1" t="str">
        <f ca="1">IF(C7&lt;2,"this",IF(C7=C6,I6,IF(C7&gt;C6,H6, LOOKUP(1,0/(H$2:H6=I6),I$2:I7))))</f>
        <v>this</v>
      </c>
      <c r="J7" s="1" t="str">
        <f t="shared" si="3"/>
        <v>createMovieClipSub</v>
      </c>
      <c r="K7" s="13" t="s">
        <v>22</v>
      </c>
      <c r="L7" s="11" t="str">
        <f t="shared" si="4"/>
        <v>dust2</v>
      </c>
      <c r="M7" s="11"/>
      <c r="N7" s="14" t="str">
        <f t="shared" ca="1" si="5"/>
        <v>MovieClipSub * dust2;</v>
      </c>
      <c r="O7" s="14" t="str">
        <f t="shared" ca="1" si="1"/>
        <v>dust2= this-&gt;createMovieClipSub("dust2");</v>
      </c>
    </row>
    <row r="8" spans="1:24" s="12" customFormat="1" x14ac:dyDescent="0.25">
      <c r="A8" s="11"/>
      <c r="B8" s="11" t="s">
        <v>46</v>
      </c>
      <c r="C8" s="1">
        <f t="shared" ca="1" si="0"/>
        <v>0</v>
      </c>
      <c r="D8" s="11" t="s">
        <v>36</v>
      </c>
      <c r="E8" s="11" t="s">
        <v>708</v>
      </c>
      <c r="F8" s="11" t="s">
        <v>705</v>
      </c>
      <c r="G8" s="21" t="s">
        <v>587</v>
      </c>
      <c r="H8" s="1" t="str">
        <f t="shared" ca="1" si="2"/>
        <v>Golem3_mc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">
        <v>706</v>
      </c>
      <c r="L8" s="11" t="str">
        <f t="shared" si="4"/>
        <v>Golem3_mc</v>
      </c>
      <c r="M8" s="11"/>
      <c r="N8" s="14" t="str">
        <f t="shared" ca="1" si="5"/>
        <v/>
      </c>
      <c r="O8" s="14" t="str">
        <f t="shared" ca="1" si="1"/>
        <v>Golem3_mc::Golem3_mc:MovieClip("cast/","Golem3_mc","Golem_mc"{)</v>
      </c>
    </row>
    <row r="9" spans="1:24" s="12" customFormat="1" x14ac:dyDescent="0.25">
      <c r="A9" s="11"/>
      <c r="B9" s="13" t="s">
        <v>21</v>
      </c>
      <c r="C9" s="1">
        <f t="shared" ca="1" si="0"/>
        <v>1</v>
      </c>
      <c r="D9" s="11" t="s">
        <v>36</v>
      </c>
      <c r="E9" s="11" t="s">
        <v>708</v>
      </c>
      <c r="F9" s="11" t="s">
        <v>705</v>
      </c>
      <c r="G9" s="1" t="s">
        <v>586</v>
      </c>
      <c r="H9" s="1" t="str">
        <f t="shared" ca="1" si="2"/>
        <v>dust1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3" t="s">
        <v>21</v>
      </c>
      <c r="L9" s="11" t="str">
        <f t="shared" si="4"/>
        <v>dust1</v>
      </c>
      <c r="M9" s="11"/>
      <c r="N9" s="14" t="str">
        <f t="shared" ca="1" si="5"/>
        <v>MovieClipSub * dust1;</v>
      </c>
      <c r="O9" s="14" t="str">
        <f t="shared" ca="1" si="1"/>
        <v>dust1= this-&gt;createMovieClipSub("dust1");</v>
      </c>
    </row>
    <row r="10" spans="1:24" s="12" customFormat="1" x14ac:dyDescent="0.25">
      <c r="A10" s="11"/>
      <c r="B10" s="13" t="s">
        <v>22</v>
      </c>
      <c r="C10" s="1">
        <f t="shared" ca="1" si="0"/>
        <v>1</v>
      </c>
      <c r="D10" s="11" t="s">
        <v>36</v>
      </c>
      <c r="E10" s="11" t="s">
        <v>708</v>
      </c>
      <c r="F10" s="11" t="s">
        <v>705</v>
      </c>
      <c r="G10" s="1" t="s">
        <v>586</v>
      </c>
      <c r="H10" s="1" t="str">
        <f t="shared" ca="1" si="2"/>
        <v>dust2</v>
      </c>
      <c r="I10" s="1" t="str">
        <f ca="1">IF(C10&lt;2,"this",IF(C10=C9,I9,IF(C10&gt;C9,H9, LOOKUP(1,0/(H$2:H9=I9),I$2:I10))))</f>
        <v>this</v>
      </c>
      <c r="J10" s="1" t="str">
        <f t="shared" si="3"/>
        <v>createMovieClipSub</v>
      </c>
      <c r="K10" s="13" t="s">
        <v>22</v>
      </c>
      <c r="L10" s="11" t="str">
        <f>B10</f>
        <v>dust2</v>
      </c>
      <c r="M10" s="11"/>
      <c r="N10" s="14" t="str">
        <f t="shared" ca="1" si="5"/>
        <v>MovieClipSub * dust2;</v>
      </c>
      <c r="O10" s="14" t="str">
        <f t="shared" ca="1" si="1"/>
        <v>dust2= this-&gt;createMovieClipSub("dust2");</v>
      </c>
    </row>
    <row r="11" spans="1:24" s="12" customFormat="1" x14ac:dyDescent="0.25">
      <c r="A11" s="11"/>
      <c r="B11" s="48" t="s">
        <v>125</v>
      </c>
      <c r="C11" s="1">
        <f t="shared" ca="1" si="0"/>
        <v>0</v>
      </c>
      <c r="D11" s="11" t="s">
        <v>36</v>
      </c>
      <c r="E11" s="11" t="s">
        <v>708</v>
      </c>
      <c r="F11" s="11" t="s">
        <v>705</v>
      </c>
      <c r="G11" s="21" t="s">
        <v>587</v>
      </c>
      <c r="H11" s="1" t="str">
        <f t="shared" ca="1" si="2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4" t="str">
        <f t="shared" ca="1" si="5"/>
        <v/>
      </c>
      <c r="O11" s="14" t="str">
        <f t="shared" ca="1" si="1"/>
        <v>Golem1HorisontDeath_mc::Golem1HorisontDeath_mc:MovieClip("cast/","Golem1HorisontDeath_mc","Golem1HorisontDeath_mc"{)</v>
      </c>
    </row>
    <row r="12" spans="1:24" s="12" customFormat="1" x14ac:dyDescent="0.25">
      <c r="A12" s="11"/>
      <c r="B12" s="48" t="s">
        <v>68</v>
      </c>
      <c r="C12" s="1">
        <f t="shared" ca="1" si="0"/>
        <v>0</v>
      </c>
      <c r="D12" s="11" t="s">
        <v>36</v>
      </c>
      <c r="E12" s="11" t="s">
        <v>708</v>
      </c>
      <c r="F12" s="11" t="s">
        <v>705</v>
      </c>
      <c r="G12" s="21" t="s">
        <v>587</v>
      </c>
      <c r="H12" s="1" t="str">
        <f t="shared" ca="1" si="2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4" t="str">
        <f t="shared" ca="1" si="5"/>
        <v/>
      </c>
      <c r="O12" s="14" t="str">
        <f t="shared" ca="1" si="1"/>
        <v>Golem2HorisontDeath_mc::Golem2HorisontDeath_mc:MovieClip("cast/","Golem2HorisontDeath_mc","Golem2HorisontDeath_mc"{)</v>
      </c>
    </row>
    <row r="13" spans="1:24" s="12" customFormat="1" x14ac:dyDescent="0.25">
      <c r="A13" s="11"/>
      <c r="B13" s="48" t="s">
        <v>69</v>
      </c>
      <c r="C13" s="1">
        <f t="shared" ca="1" si="0"/>
        <v>0</v>
      </c>
      <c r="D13" s="11" t="s">
        <v>36</v>
      </c>
      <c r="E13" s="11" t="s">
        <v>708</v>
      </c>
      <c r="F13" s="11" t="s">
        <v>705</v>
      </c>
      <c r="G13" s="21" t="s">
        <v>587</v>
      </c>
      <c r="H13" s="1" t="str">
        <f t="shared" ca="1" si="2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4" t="str">
        <f t="shared" ca="1" si="5"/>
        <v/>
      </c>
      <c r="O13" s="14" t="str">
        <f t="shared" ca="1" si="1"/>
        <v>Golem3HorisontDeath_mc::Golem3HorisontDeath_mc:MovieClip("cast/","Golem3HorisontDeath_mc","Golem3HorisontDeath_mc"{)</v>
      </c>
    </row>
    <row r="14" spans="1:24" s="12" customFormat="1" x14ac:dyDescent="0.25">
      <c r="A14" s="11"/>
      <c r="B14" s="48" t="s">
        <v>70</v>
      </c>
      <c r="C14" s="1">
        <f t="shared" ca="1" si="0"/>
        <v>0</v>
      </c>
      <c r="D14" s="11" t="s">
        <v>36</v>
      </c>
      <c r="E14" s="11" t="s">
        <v>708</v>
      </c>
      <c r="F14" s="11" t="s">
        <v>705</v>
      </c>
      <c r="G14" s="21" t="s">
        <v>587</v>
      </c>
      <c r="H14" s="1" t="str">
        <f t="shared" ca="1" si="2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4" t="str">
        <f t="shared" ca="1" si="5"/>
        <v/>
      </c>
      <c r="O14" s="14" t="str">
        <f t="shared" ca="1" si="1"/>
        <v>Golem1VerticalDeath_mc::Golem1VerticalDeath_mc:MovieClip("cast/","Golem1VerticalDeath_mc","Golem1VerticalDeath_mc"{)</v>
      </c>
    </row>
    <row r="15" spans="1:24" s="12" customFormat="1" x14ac:dyDescent="0.25">
      <c r="A15" s="11"/>
      <c r="B15" s="48" t="s">
        <v>71</v>
      </c>
      <c r="C15" s="1">
        <f t="shared" ca="1" si="0"/>
        <v>0</v>
      </c>
      <c r="D15" s="11" t="s">
        <v>36</v>
      </c>
      <c r="E15" s="11" t="s">
        <v>708</v>
      </c>
      <c r="F15" s="11" t="s">
        <v>705</v>
      </c>
      <c r="G15" s="21" t="s">
        <v>587</v>
      </c>
      <c r="H15" s="1" t="str">
        <f t="shared" ca="1" si="2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4" t="str">
        <f t="shared" ca="1" si="5"/>
        <v/>
      </c>
      <c r="O15" s="14" t="str">
        <f t="shared" ca="1" si="1"/>
        <v>Golem2VerticalDeath_mc::Golem2VerticalDeath_mc:MovieClip("cast/","Golem2VerticalDeath_mc","Golem2VerticalDeath_mc"{)</v>
      </c>
    </row>
    <row r="16" spans="1:24" s="12" customFormat="1" x14ac:dyDescent="0.25">
      <c r="A16" s="11"/>
      <c r="B16" s="48" t="s">
        <v>72</v>
      </c>
      <c r="C16" s="1">
        <f t="shared" ca="1" si="0"/>
        <v>0</v>
      </c>
      <c r="D16" s="11" t="s">
        <v>36</v>
      </c>
      <c r="E16" s="11" t="s">
        <v>708</v>
      </c>
      <c r="F16" s="11" t="s">
        <v>705</v>
      </c>
      <c r="G16" s="21" t="s">
        <v>587</v>
      </c>
      <c r="H16" s="1" t="str">
        <f t="shared" ca="1" si="2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4" t="str">
        <f t="shared" ca="1" si="5"/>
        <v/>
      </c>
      <c r="O16" s="14" t="str">
        <f t="shared" ca="1" si="1"/>
        <v>Golem3VerticalDeath_mc::Golem3VerticalDeath_mc:MovieClip("cast/","Golem3VerticalDeath_mc","Golem3VerticalDeath_mc"{)</v>
      </c>
    </row>
    <row r="17" spans="1:15" s="12" customFormat="1" x14ac:dyDescent="0.25">
      <c r="A17" s="11" t="s">
        <v>131</v>
      </c>
      <c r="B17" s="48" t="s">
        <v>52</v>
      </c>
      <c r="C17" s="1">
        <f t="shared" ca="1" si="0"/>
        <v>0</v>
      </c>
      <c r="D17" s="11" t="s">
        <v>36</v>
      </c>
      <c r="E17" s="11" t="s">
        <v>708</v>
      </c>
      <c r="F17" s="1" t="s">
        <v>705</v>
      </c>
      <c r="G17" s="21" t="s">
        <v>587</v>
      </c>
      <c r="H17" s="1" t="str">
        <f t="shared" ca="1" si="2"/>
        <v>MoveGolem_mc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4" t="str">
        <f t="shared" ca="1" si="5"/>
        <v/>
      </c>
      <c r="O17" s="14" t="str">
        <f t="shared" ca="1" si="1"/>
        <v>MoveGolem_mc::MoveGolem_mc:MovieClip("cast/","MoveGolem_mc","MoveGolem_mc"{)</v>
      </c>
    </row>
    <row r="18" spans="1:15" x14ac:dyDescent="0.25">
      <c r="A18" s="1" t="s">
        <v>44</v>
      </c>
      <c r="B18" s="1" t="s">
        <v>124</v>
      </c>
      <c r="C18" s="1">
        <f t="shared" ca="1" si="0"/>
        <v>0</v>
      </c>
      <c r="D18" s="1" t="s">
        <v>36</v>
      </c>
      <c r="E18" s="11" t="s">
        <v>708</v>
      </c>
      <c r="F18" s="1" t="s">
        <v>705</v>
      </c>
      <c r="G18" s="21" t="s">
        <v>587</v>
      </c>
      <c r="H18" s="1" t="str">
        <f t="shared" ca="1" si="2"/>
        <v>Iceman_mc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</v>
      </c>
      <c r="K18" s="1" t="str">
        <f t="shared" si="6"/>
        <v>Iceman_mc</v>
      </c>
      <c r="L18" s="1" t="str">
        <f>B18</f>
        <v>Iceman_mc</v>
      </c>
      <c r="M18" s="1"/>
      <c r="N18" s="14" t="str">
        <f t="shared" ca="1" si="5"/>
        <v/>
      </c>
      <c r="O18" s="14" t="str">
        <f t="shared" ca="1" si="1"/>
        <v>Iceman_mc::Iceman_mc:MovieClip("cast/","Iceman_mc","Iceman_mc"{)</v>
      </c>
    </row>
    <row r="19" spans="1:15" x14ac:dyDescent="0.25">
      <c r="A19" s="1"/>
      <c r="B19" s="1" t="s">
        <v>43</v>
      </c>
      <c r="C19" s="1">
        <f t="shared" ca="1" si="0"/>
        <v>0</v>
      </c>
      <c r="D19" s="1" t="s">
        <v>36</v>
      </c>
      <c r="E19" s="11" t="s">
        <v>708</v>
      </c>
      <c r="F19" s="1" t="s">
        <v>705</v>
      </c>
      <c r="G19" s="21" t="s">
        <v>587</v>
      </c>
      <c r="H19" s="1" t="str">
        <f t="shared" ca="1" si="2"/>
        <v>BlowIce_mc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4" t="str">
        <f t="shared" ca="1" si="5"/>
        <v/>
      </c>
      <c r="O19" s="14" t="str">
        <f t="shared" ca="1" si="1"/>
        <v>BlowIce_mc::BlowIce_mc:MovieClip("cast/","BlowIce_mc","BlowIce_mc"{)</v>
      </c>
    </row>
    <row r="20" spans="1:15" x14ac:dyDescent="0.25">
      <c r="A20" s="1"/>
      <c r="B20" s="48" t="s">
        <v>709</v>
      </c>
      <c r="C20" s="1">
        <f t="shared" ca="1" si="0"/>
        <v>0</v>
      </c>
      <c r="D20" s="1" t="s">
        <v>36</v>
      </c>
      <c r="E20" s="11" t="s">
        <v>708</v>
      </c>
      <c r="F20" s="1" t="s">
        <v>705</v>
      </c>
      <c r="G20" s="21" t="s">
        <v>587</v>
      </c>
      <c r="H20" s="1" t="str">
        <f t="shared" ca="1" si="2"/>
        <v>IceRoad_mc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4" t="str">
        <f t="shared" ca="1" si="5"/>
        <v/>
      </c>
      <c r="O20" s="14" t="str">
        <f t="shared" ca="1" si="1"/>
        <v>IceRoad_mc::IceRoad_mc:MovieClip("cast/","IceRoad_mc","IceRoad_mc"{)</v>
      </c>
    </row>
    <row r="21" spans="1:15" x14ac:dyDescent="0.25">
      <c r="A21" s="1"/>
      <c r="B21" s="48" t="s">
        <v>129</v>
      </c>
      <c r="C21" s="1">
        <f t="shared" ca="1" si="0"/>
        <v>0</v>
      </c>
      <c r="D21" s="1" t="s">
        <v>36</v>
      </c>
      <c r="E21" s="11" t="s">
        <v>708</v>
      </c>
      <c r="F21" s="1" t="s">
        <v>705</v>
      </c>
      <c r="G21" s="21" t="s">
        <v>587</v>
      </c>
      <c r="H21" s="1" t="str">
        <f t="shared" ca="1" si="2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4" t="str">
        <f t="shared" ca="1" si="5"/>
        <v/>
      </c>
      <c r="O21" s="14" t="str">
        <f t="shared" ca="1" si="1"/>
        <v>IcemanHorisontDeath_mc::IcemanHorisontDeath_mc:MovieClip("cast/","IcemanHorisontDeath_mc","IcemanHorisontDeath_mc"{)</v>
      </c>
    </row>
    <row r="22" spans="1:15" x14ac:dyDescent="0.25">
      <c r="A22" s="1"/>
      <c r="B22" s="48" t="s">
        <v>73</v>
      </c>
      <c r="C22" s="1">
        <f t="shared" ca="1" si="0"/>
        <v>0</v>
      </c>
      <c r="D22" s="1" t="s">
        <v>36</v>
      </c>
      <c r="E22" s="11" t="s">
        <v>708</v>
      </c>
      <c r="F22" s="1" t="s">
        <v>705</v>
      </c>
      <c r="G22" s="21" t="s">
        <v>587</v>
      </c>
      <c r="H22" s="1" t="str">
        <f t="shared" ca="1" si="2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4" t="str">
        <f t="shared" ca="1" si="5"/>
        <v/>
      </c>
      <c r="O22" s="14" t="str">
        <f t="shared" ca="1" si="1"/>
        <v>IcemanVerticalDeath_mc::IcemanVerticalDeath_mc:MovieClip("cast/","IcemanVerticalDeath_mc","IcemanVerticalDeath_mc"{)</v>
      </c>
    </row>
    <row r="23" spans="1:15" x14ac:dyDescent="0.25">
      <c r="A23" s="11" t="s">
        <v>132</v>
      </c>
      <c r="B23" s="48" t="s">
        <v>130</v>
      </c>
      <c r="C23" s="1">
        <f t="shared" ca="1" si="0"/>
        <v>0</v>
      </c>
      <c r="D23" s="1" t="s">
        <v>36</v>
      </c>
      <c r="E23" s="11" t="s">
        <v>708</v>
      </c>
      <c r="F23" s="1" t="s">
        <v>705</v>
      </c>
      <c r="G23" s="21" t="s">
        <v>587</v>
      </c>
      <c r="H23" s="1" t="str">
        <f t="shared" ca="1" si="2"/>
        <v>MoveIceman_mc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4" t="str">
        <f t="shared" ca="1" si="5"/>
        <v/>
      </c>
      <c r="O23" s="14" t="str">
        <f t="shared" ca="1" si="1"/>
        <v>MoveIceman_mc::MoveIceman_mc:MovieClip("cast/","MoveIceman_mc","MoveIceman_mc"{)</v>
      </c>
    </row>
    <row r="24" spans="1:15" ht="13.8" customHeight="1" x14ac:dyDescent="0.25">
      <c r="A24" s="1" t="s">
        <v>41</v>
      </c>
      <c r="B24" s="1" t="s">
        <v>48</v>
      </c>
      <c r="C24" s="1">
        <f t="shared" ca="1" si="0"/>
        <v>0</v>
      </c>
      <c r="D24" s="1" t="s">
        <v>36</v>
      </c>
      <c r="E24" s="11" t="s">
        <v>708</v>
      </c>
      <c r="F24" s="1" t="s">
        <v>705</v>
      </c>
      <c r="G24" s="21" t="s">
        <v>587</v>
      </c>
      <c r="H24" s="1" t="str">
        <f t="shared" ca="1" si="2"/>
        <v>Air_mc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4" t="str">
        <f t="shared" ca="1" si="5"/>
        <v/>
      </c>
      <c r="O24" s="14" t="str">
        <f t="shared" ca="1" si="1"/>
        <v>Air_mc::Air_mc:MovieClip("cast/","Air_mc","Air_mc"{)</v>
      </c>
    </row>
    <row r="25" spans="1:15" x14ac:dyDescent="0.25">
      <c r="A25" s="1"/>
      <c r="B25" s="3" t="s">
        <v>20</v>
      </c>
      <c r="C25" s="1">
        <f t="shared" ca="1" si="0"/>
        <v>1</v>
      </c>
      <c r="D25" s="1" t="s">
        <v>36</v>
      </c>
      <c r="E25" s="11" t="s">
        <v>708</v>
      </c>
      <c r="F25" s="1" t="s">
        <v>705</v>
      </c>
      <c r="G25" s="1" t="s">
        <v>586</v>
      </c>
      <c r="H25" s="1" t="str">
        <f t="shared" ca="1" si="2"/>
        <v>cont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4" t="str">
        <f t="shared" ca="1" si="5"/>
        <v>MovieClipSub * cont;</v>
      </c>
      <c r="O25" s="14" t="str">
        <f t="shared" ca="1" si="1"/>
        <v>cont= this-&gt;createMovieClipSub("cont");</v>
      </c>
    </row>
    <row r="26" spans="1:15" x14ac:dyDescent="0.25">
      <c r="A26" s="1"/>
      <c r="B26" s="4" t="s">
        <v>710</v>
      </c>
      <c r="C26" s="1">
        <f t="shared" ca="1" si="0"/>
        <v>2</v>
      </c>
      <c r="D26" s="1" t="s">
        <v>36</v>
      </c>
      <c r="E26" s="11" t="s">
        <v>708</v>
      </c>
      <c r="F26" s="1" t="s">
        <v>705</v>
      </c>
      <c r="G26" s="1" t="s">
        <v>586</v>
      </c>
      <c r="H26" s="1" t="str">
        <f t="shared" ca="1" si="2"/>
        <v>contBlowing</v>
      </c>
      <c r="I26" s="1" t="str">
        <f ca="1">IF(C26&lt;2,"this",IF(C26=C25,I25,IF(C26&gt;C25,H25, LOOKUP(1,0/(H$2:H25=I25),I$2:I26))))</f>
        <v>cont</v>
      </c>
      <c r="J26" s="1" t="str">
        <f t="shared" si="3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4" t="str">
        <f t="shared" ca="1" si="5"/>
        <v>MovieClipSub * contBlowing;</v>
      </c>
      <c r="O26" s="14" t="str">
        <f t="shared" ca="1" si="1"/>
        <v>contBlowing= cont-&gt;createMovieClipSub("blowing");</v>
      </c>
    </row>
    <row r="27" spans="1:15" x14ac:dyDescent="0.25">
      <c r="A27" s="1"/>
      <c r="B27" s="3" t="s">
        <v>21</v>
      </c>
      <c r="C27" s="1">
        <f t="shared" ca="1" si="0"/>
        <v>1</v>
      </c>
      <c r="D27" s="1" t="s">
        <v>36</v>
      </c>
      <c r="E27" s="11" t="s">
        <v>708</v>
      </c>
      <c r="F27" s="1" t="s">
        <v>705</v>
      </c>
      <c r="G27" s="1" t="s">
        <v>586</v>
      </c>
      <c r="H27" s="1" t="str">
        <f t="shared" ca="1" si="2"/>
        <v>dust1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4" t="str">
        <f t="shared" ca="1" si="5"/>
        <v>MovieClipSub * dust1;</v>
      </c>
      <c r="O27" s="14" t="str">
        <f t="shared" ca="1" si="1"/>
        <v>dust1= this-&gt;createMovieClipSub("dust1");</v>
      </c>
    </row>
    <row r="28" spans="1:15" x14ac:dyDescent="0.25">
      <c r="A28" s="1"/>
      <c r="B28" s="3" t="s">
        <v>22</v>
      </c>
      <c r="C28" s="1">
        <f t="shared" ca="1" si="0"/>
        <v>1</v>
      </c>
      <c r="D28" s="1" t="s">
        <v>36</v>
      </c>
      <c r="E28" s="11" t="s">
        <v>708</v>
      </c>
      <c r="F28" s="1" t="s">
        <v>705</v>
      </c>
      <c r="G28" s="1" t="s">
        <v>586</v>
      </c>
      <c r="H28" s="1" t="str">
        <f t="shared" ca="1" si="2"/>
        <v>dust2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4" t="str">
        <f t="shared" ca="1" si="5"/>
        <v>MovieClipSub * dust2;</v>
      </c>
      <c r="O28" s="14" t="str">
        <f t="shared" ca="1" si="1"/>
        <v>dust2= this-&gt;createMovieClipSub("dust2");</v>
      </c>
    </row>
    <row r="29" spans="1:15" ht="13.8" customHeight="1" x14ac:dyDescent="0.25">
      <c r="A29" s="11"/>
      <c r="B29" s="1" t="s">
        <v>49</v>
      </c>
      <c r="C29" s="1">
        <f t="shared" ca="1" si="0"/>
        <v>0</v>
      </c>
      <c r="D29" s="1" t="s">
        <v>36</v>
      </c>
      <c r="E29" s="11" t="s">
        <v>708</v>
      </c>
      <c r="F29" s="1" t="s">
        <v>705</v>
      </c>
      <c r="G29" s="21" t="s">
        <v>587</v>
      </c>
      <c r="H29" s="1" t="str">
        <f t="shared" ca="1" si="2"/>
        <v>MoveAir_mc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4" t="str">
        <f t="shared" ca="1" si="5"/>
        <v/>
      </c>
      <c r="O29" s="14" t="str">
        <f t="shared" ca="1" si="1"/>
        <v>MoveAir_mc::MoveAir_mc:MovieClip("cast/","MoveAir_mc","MoveAir_mc"{)</v>
      </c>
    </row>
    <row r="30" spans="1:15" x14ac:dyDescent="0.25">
      <c r="A30" s="1"/>
      <c r="B30" s="3" t="s">
        <v>37</v>
      </c>
      <c r="C30" s="1">
        <f t="shared" ca="1" si="0"/>
        <v>1</v>
      </c>
      <c r="D30" s="1" t="s">
        <v>36</v>
      </c>
      <c r="E30" s="11" t="s">
        <v>708</v>
      </c>
      <c r="F30" s="1" t="s">
        <v>705</v>
      </c>
      <c r="G30" s="1" t="s">
        <v>586</v>
      </c>
      <c r="H30" s="1" t="str">
        <f t="shared" ca="1" si="2"/>
        <v>down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4" t="str">
        <f t="shared" ca="1" si="5"/>
        <v>MovieClipSub * down;</v>
      </c>
      <c r="O30" s="14" t="str">
        <f t="shared" ca="1" si="1"/>
        <v>down= this-&gt;createMovieClipSub("down");</v>
      </c>
    </row>
    <row r="31" spans="1:15" x14ac:dyDescent="0.25">
      <c r="A31" s="1"/>
      <c r="B31" s="3" t="s">
        <v>38</v>
      </c>
      <c r="C31" s="1">
        <f t="shared" ca="1" si="0"/>
        <v>1</v>
      </c>
      <c r="D31" s="1" t="s">
        <v>36</v>
      </c>
      <c r="E31" s="11" t="s">
        <v>708</v>
      </c>
      <c r="F31" s="1" t="s">
        <v>705</v>
      </c>
      <c r="G31" s="1" t="s">
        <v>586</v>
      </c>
      <c r="H31" s="1" t="str">
        <f t="shared" ca="1" si="2"/>
        <v>left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4" t="str">
        <f t="shared" ca="1" si="5"/>
        <v>MovieClipSub * left;</v>
      </c>
      <c r="O31" s="14" t="str">
        <f t="shared" ca="1" si="1"/>
        <v>left= this-&gt;createMovieClipSub("left");</v>
      </c>
    </row>
    <row r="32" spans="1:15" x14ac:dyDescent="0.25">
      <c r="A32" s="1"/>
      <c r="B32" s="3" t="s">
        <v>39</v>
      </c>
      <c r="C32" s="1">
        <f t="shared" ca="1" si="0"/>
        <v>1</v>
      </c>
      <c r="D32" s="1" t="s">
        <v>36</v>
      </c>
      <c r="E32" s="11" t="s">
        <v>708</v>
      </c>
      <c r="F32" s="1" t="s">
        <v>705</v>
      </c>
      <c r="G32" s="1" t="s">
        <v>586</v>
      </c>
      <c r="H32" s="1" t="str">
        <f t="shared" ca="1" si="2"/>
        <v>right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4" t="str">
        <f t="shared" ca="1" si="5"/>
        <v>MovieClipSub * right;</v>
      </c>
      <c r="O32" s="14" t="str">
        <f t="shared" ca="1" si="1"/>
        <v>right= this-&gt;createMovieClipSub("right");</v>
      </c>
    </row>
    <row r="33" spans="1:15" x14ac:dyDescent="0.25">
      <c r="A33" s="1"/>
      <c r="B33" s="3" t="s">
        <v>40</v>
      </c>
      <c r="C33" s="1">
        <f t="shared" ca="1" si="0"/>
        <v>1</v>
      </c>
      <c r="D33" s="1" t="s">
        <v>36</v>
      </c>
      <c r="E33" s="11" t="s">
        <v>708</v>
      </c>
      <c r="F33" s="1" t="s">
        <v>705</v>
      </c>
      <c r="G33" s="1" t="s">
        <v>586</v>
      </c>
      <c r="H33" s="1" t="str">
        <f t="shared" ca="1" si="2"/>
        <v>up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6"/>
        <v>up</v>
      </c>
      <c r="L33" s="1" t="str">
        <f t="shared" si="9"/>
        <v>up</v>
      </c>
      <c r="M33" s="1"/>
      <c r="N33" s="14" t="str">
        <f t="shared" ca="1" si="5"/>
        <v>MovieClipSub * up;</v>
      </c>
      <c r="O33" s="14" t="str">
        <f t="shared" ca="1" si="1"/>
        <v>up= this-&gt;createMovieClipSub("up");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232"/>
  <sheetViews>
    <sheetView tabSelected="1" zoomScale="85" zoomScaleNormal="85" workbookViewId="0">
      <pane xSplit="2" ySplit="1" topLeftCell="J209" activePane="bottomRight" state="frozen"/>
      <selection pane="topRight" activeCell="C1" sqref="C1"/>
      <selection pane="bottomLeft" activeCell="A2" sqref="A2"/>
      <selection pane="bottomRight" activeCell="O234" sqref="O234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12.44140625" customWidth="1"/>
    <col min="9" max="9" width="8.77734375" customWidth="1"/>
    <col min="10" max="10" width="19.21875" bestFit="1" customWidth="1"/>
    <col min="11" max="11" width="16.77734375" customWidth="1"/>
    <col min="12" max="12" width="20.88671875" customWidth="1"/>
    <col min="15" max="15" width="21.33203125" customWidth="1"/>
    <col min="16" max="16" width="18.21875" customWidth="1"/>
    <col min="17" max="17" width="15.44140625" customWidth="1"/>
    <col min="18" max="18" width="16.44140625" customWidth="1"/>
    <col min="19" max="19" width="19.5546875" customWidth="1"/>
    <col min="20" max="20" width="22.6640625" customWidth="1"/>
    <col min="22" max="22" width="18.44140625" customWidth="1"/>
    <col min="24" max="24" width="22.109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769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21" t="s">
        <v>680</v>
      </c>
      <c r="C2" s="1">
        <f t="shared" ref="C2:C85" ca="1" si="0">indent(B2)</f>
        <v>0</v>
      </c>
      <c r="D2" s="1" t="s">
        <v>78</v>
      </c>
      <c r="E2" s="1" t="s">
        <v>134</v>
      </c>
      <c r="F2" s="1" t="s">
        <v>126</v>
      </c>
      <c r="G2" s="21" t="s">
        <v>587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 t="s">
        <v>770</v>
      </c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BuildTowerSmoke_mc::BuildTowerSmoke_mc:MovieClip("tower/","BuildTowerSmoke_mc","BuildTowerSmoke_mc"{)</v>
      </c>
    </row>
    <row r="3" spans="1:24" x14ac:dyDescent="0.25">
      <c r="A3" s="1" t="s">
        <v>101</v>
      </c>
      <c r="B3" s="21" t="s">
        <v>681</v>
      </c>
      <c r="C3" s="1">
        <f t="shared" ca="1" si="0"/>
        <v>0</v>
      </c>
      <c r="D3" s="1" t="s">
        <v>78</v>
      </c>
      <c r="E3" s="1" t="s">
        <v>134</v>
      </c>
      <c r="F3" s="1" t="s">
        <v>126</v>
      </c>
      <c r="G3" s="21" t="s">
        <v>587</v>
      </c>
      <c r="H3" s="1" t="str">
        <f t="shared" ref="H3:H86" ca="1" si="2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3">CONCATENATE("create",IF(LEFT(G3,2)="MC",MID(G3,3,LEN(G3)),G3))</f>
        <v>createMovieClip</v>
      </c>
      <c r="K3" s="1" t="str">
        <f t="shared" ref="K3:K86" si="4">B3</f>
        <v>BuildTowerMenu_mc</v>
      </c>
      <c r="L3" s="1" t="str">
        <f t="shared" ref="L3:L86" si="5">B3</f>
        <v>BuildTowerMenu_mc</v>
      </c>
      <c r="M3" s="1" t="s">
        <v>770</v>
      </c>
      <c r="N3" s="14" t="str">
        <f t="shared" ref="N3:N73" ca="1" si="6">IF(C3&gt;0,G3 &amp; " * "&amp;H3 &amp;";","")</f>
        <v/>
      </c>
      <c r="O3" s="14" t="str">
        <f t="shared" ca="1" si="1"/>
        <v>BuildTowerMenu_mc::BuildTowerMenu_mc:MovieClip("tower/","BuildTowerMenu_mc","BuildTowerMenu_mc"{)</v>
      </c>
    </row>
    <row r="4" spans="1:24" x14ac:dyDescent="0.25">
      <c r="A4" s="1"/>
      <c r="B4" s="3" t="s">
        <v>102</v>
      </c>
      <c r="C4" s="1">
        <f t="shared" ca="1" si="0"/>
        <v>1</v>
      </c>
      <c r="D4" s="1" t="s">
        <v>78</v>
      </c>
      <c r="E4" s="1" t="s">
        <v>126</v>
      </c>
      <c r="F4" s="1" t="s">
        <v>126</v>
      </c>
      <c r="G4" s="1" t="s">
        <v>586</v>
      </c>
      <c r="H4" s="1" t="str">
        <f t="shared" ca="1" si="2"/>
        <v>cont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4"/>
        <v>cont</v>
      </c>
      <c r="L4" s="1" t="str">
        <f t="shared" si="5"/>
        <v>cont</v>
      </c>
      <c r="M4" s="1" t="s">
        <v>770</v>
      </c>
      <c r="N4" s="14" t="str">
        <f t="shared" ca="1" si="6"/>
        <v>MovieClipSub * cont;</v>
      </c>
      <c r="O4" s="14" t="str">
        <f t="shared" ca="1" si="1"/>
        <v>cont= this-&gt;createMovieClipSub("cont");</v>
      </c>
    </row>
    <row r="5" spans="1:24" x14ac:dyDescent="0.25">
      <c r="A5" s="1"/>
      <c r="B5" s="4" t="s">
        <v>133</v>
      </c>
      <c r="C5" s="1">
        <f t="shared" ca="1" si="0"/>
        <v>2</v>
      </c>
      <c r="D5" s="1" t="s">
        <v>78</v>
      </c>
      <c r="E5" s="1" t="s">
        <v>126</v>
      </c>
      <c r="F5" s="1" t="s">
        <v>126</v>
      </c>
      <c r="G5" s="1" t="s">
        <v>669</v>
      </c>
      <c r="H5" s="1" t="str">
        <f t="shared" ca="1" si="2"/>
        <v>contBuildTowerMenuCase</v>
      </c>
      <c r="I5" s="1" t="str">
        <f ca="1">IF(C5&lt;2,"this",IF(C5=C4,I4,IF(C5&gt;C4,H4, LOOKUP(1,0/(H$2:H4=I4),I$2:I5))))</f>
        <v>cont</v>
      </c>
      <c r="J5" s="1" t="str">
        <f t="shared" si="3"/>
        <v>createCase</v>
      </c>
      <c r="K5" s="1" t="str">
        <f t="shared" si="4"/>
        <v>buildTowerMenuCase</v>
      </c>
      <c r="L5" s="1" t="str">
        <f t="shared" si="5"/>
        <v>buildTowerMenuCase</v>
      </c>
      <c r="M5" s="1" t="s">
        <v>770</v>
      </c>
      <c r="N5" s="14" t="str">
        <f t="shared" ca="1" si="6"/>
        <v>MCCase * contBuildTowerMenuCase;</v>
      </c>
      <c r="O5" s="14" t="str">
        <f t="shared" ca="1" si="1"/>
        <v>contBuildTowerMenuCase= cont-&gt;createCase("buildTowerMenuCase");</v>
      </c>
    </row>
    <row r="6" spans="1:24" x14ac:dyDescent="0.25">
      <c r="A6" s="1"/>
      <c r="B6" s="4" t="s">
        <v>103</v>
      </c>
      <c r="C6" s="1">
        <f t="shared" ca="1" si="0"/>
        <v>2</v>
      </c>
      <c r="D6" s="1" t="s">
        <v>78</v>
      </c>
      <c r="E6" s="1" t="s">
        <v>126</v>
      </c>
      <c r="F6" s="1" t="s">
        <v>126</v>
      </c>
      <c r="G6" s="1" t="s">
        <v>671</v>
      </c>
      <c r="H6" s="1" t="str">
        <f t="shared" ca="1" si="2"/>
        <v>contCostTXT</v>
      </c>
      <c r="I6" s="1" t="str">
        <f ca="1">IF(C6&lt;2,"this",IF(C6=C5,I5,IF(C6&gt;C5,H5, LOOKUP(1,0/(H$2:H5=I5),I$2:I6))))</f>
        <v>cont</v>
      </c>
      <c r="J6" s="1" t="str">
        <f t="shared" si="3"/>
        <v>createText</v>
      </c>
      <c r="K6" s="1" t="str">
        <f t="shared" si="4"/>
        <v>costTXT</v>
      </c>
      <c r="L6" s="1" t="str">
        <f t="shared" si="5"/>
        <v>costTXT</v>
      </c>
      <c r="M6" s="1" t="s">
        <v>770</v>
      </c>
      <c r="N6" s="14" t="str">
        <f t="shared" ca="1" si="6"/>
        <v>MCText * contCostTXT;</v>
      </c>
      <c r="O6" s="14" t="str">
        <f t="shared" ca="1" si="1"/>
        <v>contCostTXT= cont-&gt;createText("costTXT");</v>
      </c>
    </row>
    <row r="7" spans="1:24" x14ac:dyDescent="0.25">
      <c r="A7" s="1" t="s">
        <v>135</v>
      </c>
      <c r="B7" s="23" t="s">
        <v>664</v>
      </c>
      <c r="C7" s="38">
        <f t="shared" ca="1" si="0"/>
        <v>0</v>
      </c>
      <c r="D7" s="38" t="s">
        <v>78</v>
      </c>
      <c r="E7" s="38" t="s">
        <v>657</v>
      </c>
      <c r="F7" s="1" t="s">
        <v>126</v>
      </c>
      <c r="G7" s="21" t="s">
        <v>587</v>
      </c>
      <c r="H7" s="1" t="str">
        <f t="shared" ca="1" si="2"/>
        <v>TowerMenuHint_mc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TowerMenuHint_mc</v>
      </c>
      <c r="L7" s="1" t="str">
        <f t="shared" si="5"/>
        <v>TowerMenuHint_mc</v>
      </c>
      <c r="M7" s="1" t="s">
        <v>770</v>
      </c>
      <c r="N7" s="14" t="str">
        <f t="shared" ca="1" si="6"/>
        <v/>
      </c>
      <c r="O7" s="14" t="str">
        <f t="shared" ca="1" si="1"/>
        <v>TowerMenuHint_mc::TowerMenuHint_mc:MovieClip("tower/","TowerMenuHint_mc","TowerMenuHint_mc"{)</v>
      </c>
    </row>
    <row r="8" spans="1:24" x14ac:dyDescent="0.25">
      <c r="A8" s="56" t="s">
        <v>679</v>
      </c>
      <c r="B8" s="39" t="s">
        <v>102</v>
      </c>
      <c r="C8" s="38">
        <f t="shared" ca="1" si="0"/>
        <v>1</v>
      </c>
      <c r="D8" s="38" t="s">
        <v>78</v>
      </c>
      <c r="E8" s="38" t="s">
        <v>657</v>
      </c>
      <c r="F8" s="1" t="s">
        <v>126</v>
      </c>
      <c r="G8" s="1" t="s">
        <v>586</v>
      </c>
      <c r="H8" s="1" t="str">
        <f t="shared" ca="1" si="2"/>
        <v>cont</v>
      </c>
      <c r="I8" s="1" t="str">
        <f ca="1">IF(C8&lt;2,"this",IF(C8=C7,I7,IF(C8&gt;C7,H7, LOOKUP(1,0/(H$2:H7=I7),I$2:I8))))</f>
        <v>this</v>
      </c>
      <c r="J8" s="1" t="str">
        <f t="shared" si="3"/>
        <v>createMovieClipSub</v>
      </c>
      <c r="K8" s="1" t="str">
        <f t="shared" si="4"/>
        <v>cont</v>
      </c>
      <c r="L8" s="1" t="str">
        <f t="shared" si="5"/>
        <v>cont</v>
      </c>
      <c r="M8" s="1" t="s">
        <v>770</v>
      </c>
      <c r="N8" s="14" t="str">
        <f t="shared" ca="1" si="6"/>
        <v>MovieClipSub * cont;</v>
      </c>
      <c r="O8" s="14" t="str">
        <f t="shared" ca="1" si="1"/>
        <v>cont= this-&gt;createMovieClipSub("cont");</v>
      </c>
    </row>
    <row r="9" spans="1:24" x14ac:dyDescent="0.25">
      <c r="A9" s="57"/>
      <c r="B9" s="40" t="s">
        <v>107</v>
      </c>
      <c r="C9" s="38">
        <f t="shared" ca="1" si="0"/>
        <v>2</v>
      </c>
      <c r="D9" s="38" t="s">
        <v>78</v>
      </c>
      <c r="E9" s="38" t="s">
        <v>657</v>
      </c>
      <c r="F9" s="1" t="s">
        <v>126</v>
      </c>
      <c r="G9" s="1" t="s">
        <v>586</v>
      </c>
      <c r="H9" s="1" t="str">
        <f t="shared" ca="1" si="2"/>
        <v>contCont1</v>
      </c>
      <c r="I9" s="1" t="str">
        <f ca="1">IF(C9&lt;2,"this",IF(C9=C8,I8,IF(C9&gt;C8,H8, LOOKUP(1,0/(H$2:H8=I8),I$2:I9))))</f>
        <v>cont</v>
      </c>
      <c r="J9" s="1" t="str">
        <f t="shared" si="3"/>
        <v>createMovieClipSub</v>
      </c>
      <c r="K9" s="1" t="str">
        <f t="shared" si="4"/>
        <v>cont1</v>
      </c>
      <c r="L9" s="1" t="str">
        <f t="shared" si="5"/>
        <v>cont1</v>
      </c>
      <c r="M9" s="1" t="s">
        <v>770</v>
      </c>
      <c r="N9" s="14" t="str">
        <f t="shared" ca="1" si="6"/>
        <v>MovieClipSub * contCont1;</v>
      </c>
      <c r="O9" s="14" t="str">
        <f t="shared" ca="1" si="1"/>
        <v>contCont1= cont-&gt;createMovieClipSub("cont1");</v>
      </c>
    </row>
    <row r="10" spans="1:24" s="7" customFormat="1" x14ac:dyDescent="0.25">
      <c r="A10" s="57"/>
      <c r="B10" s="41" t="s">
        <v>108</v>
      </c>
      <c r="C10" s="38">
        <f t="shared" ca="1" si="0"/>
        <v>3</v>
      </c>
      <c r="D10" s="38" t="s">
        <v>78</v>
      </c>
      <c r="E10" s="38" t="s">
        <v>657</v>
      </c>
      <c r="F10" s="1" t="s">
        <v>126</v>
      </c>
      <c r="G10" s="1" t="s">
        <v>586</v>
      </c>
      <c r="H10" s="1" t="str">
        <f t="shared" ca="1" si="2"/>
        <v>contCont1Sphere1</v>
      </c>
      <c r="I10" s="1" t="str">
        <f ca="1">IF(C10&lt;2,"this",IF(C10=C9,I9,IF(C10&gt;C9,H9, LOOKUP(1,0/(H$2:H9=I9),I$2:I10))))</f>
        <v>contCont1</v>
      </c>
      <c r="J10" s="1" t="str">
        <f t="shared" si="3"/>
        <v>createMovieClipSub</v>
      </c>
      <c r="K10" s="1" t="str">
        <f t="shared" si="4"/>
        <v>sphere1</v>
      </c>
      <c r="L10" s="1" t="str">
        <f t="shared" si="5"/>
        <v>sphere1</v>
      </c>
      <c r="M10" s="1" t="s">
        <v>770</v>
      </c>
      <c r="N10" s="14" t="str">
        <f t="shared" ca="1" si="6"/>
        <v>MovieClipSub * contCont1Sphere1;</v>
      </c>
      <c r="O10" s="14" t="str">
        <f t="shared" ca="1" si="1"/>
        <v>contCont1Sphere1= contCont1-&gt;createMovieClipSub("sphere1");</v>
      </c>
    </row>
    <row r="11" spans="1:24" s="7" customFormat="1" x14ac:dyDescent="0.25">
      <c r="A11" s="57"/>
      <c r="B11" s="41" t="s">
        <v>109</v>
      </c>
      <c r="C11" s="38">
        <f t="shared" ca="1" si="0"/>
        <v>3</v>
      </c>
      <c r="D11" s="38" t="s">
        <v>78</v>
      </c>
      <c r="E11" s="38" t="s">
        <v>657</v>
      </c>
      <c r="F11" s="1" t="s">
        <v>126</v>
      </c>
      <c r="G11" s="1" t="s">
        <v>586</v>
      </c>
      <c r="H11" s="1" t="str">
        <f t="shared" ca="1" si="2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3"/>
        <v>createMovieClipSub</v>
      </c>
      <c r="K11" s="1" t="str">
        <f t="shared" si="4"/>
        <v>sphere2</v>
      </c>
      <c r="L11" s="1" t="str">
        <f t="shared" si="5"/>
        <v>sphere2</v>
      </c>
      <c r="M11" s="1" t="s">
        <v>770</v>
      </c>
      <c r="N11" s="14" t="str">
        <f t="shared" ca="1" si="6"/>
        <v>MovieClipSub * contCont1Sphere2;</v>
      </c>
      <c r="O11" s="14" t="str">
        <f t="shared" ca="1" si="1"/>
        <v>contCont1Sphere2= contCont1-&gt;createMovieClipSub("sphere2");</v>
      </c>
    </row>
    <row r="12" spans="1:24" x14ac:dyDescent="0.25">
      <c r="A12" s="1"/>
      <c r="B12" s="21" t="s">
        <v>721</v>
      </c>
      <c r="C12" s="1">
        <f t="shared" ca="1" si="0"/>
        <v>0</v>
      </c>
      <c r="D12" s="1" t="s">
        <v>78</v>
      </c>
      <c r="E12" s="1" t="s">
        <v>126</v>
      </c>
      <c r="F12" s="1" t="s">
        <v>126</v>
      </c>
      <c r="G12" s="1" t="s">
        <v>586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1" t="s">
        <v>770</v>
      </c>
      <c r="N12" s="14" t="str">
        <f t="shared" ref="N12" ca="1" si="11">IF(C12&gt;0,G12 &amp; " * "&amp;H12 &amp;";","")</f>
        <v/>
      </c>
      <c r="O12" s="14" t="str">
        <f t="shared" ca="1" si="1"/>
        <v>TowerMenuSphere_mc::TowerMenuSphere_mc:MovieClipSub("tower/","TowerMenuSphere_mc","TowerMenuSphere_mc"{)</v>
      </c>
    </row>
    <row r="13" spans="1:24" x14ac:dyDescent="0.25">
      <c r="A13" s="1" t="s">
        <v>722</v>
      </c>
      <c r="B13" s="50" t="s">
        <v>20</v>
      </c>
      <c r="C13" s="1">
        <f t="shared" ref="C13" ca="1" si="12">indent(B13)</f>
        <v>1</v>
      </c>
      <c r="D13" s="1" t="s">
        <v>78</v>
      </c>
      <c r="E13" s="1" t="s">
        <v>126</v>
      </c>
      <c r="F13" s="1" t="s">
        <v>126</v>
      </c>
      <c r="G13" s="1" t="s">
        <v>586</v>
      </c>
      <c r="H13" s="1" t="str">
        <f t="shared" ref="H13" ca="1" si="13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4">CONCATENATE("create",IF(LEFT(G13,2)="MC",MID(G13,3,LEN(G13)),G13))</f>
        <v>createMovieClipSub</v>
      </c>
      <c r="K13" s="1" t="str">
        <f t="shared" ref="K13" si="15">B13</f>
        <v>cont</v>
      </c>
      <c r="L13" s="1" t="str">
        <f t="shared" ref="L13" si="16">B13</f>
        <v>cont</v>
      </c>
      <c r="M13" s="1" t="s">
        <v>770</v>
      </c>
      <c r="N13" s="14" t="str">
        <f t="shared" ref="N13" ca="1" si="17">IF(C13&gt;0,G13 &amp; " * "&amp;H13 &amp;";","")</f>
        <v>MovieClipSub * cont;</v>
      </c>
      <c r="O13" s="14" t="str">
        <f t="shared" ca="1" si="1"/>
        <v>cont= this-&gt;createMovieClipSub("cont");</v>
      </c>
    </row>
    <row r="14" spans="1:24" x14ac:dyDescent="0.25">
      <c r="A14" s="1"/>
      <c r="B14" s="21" t="s">
        <v>658</v>
      </c>
      <c r="C14" s="1">
        <f t="shared" ca="1" si="0"/>
        <v>0</v>
      </c>
      <c r="D14" s="1" t="s">
        <v>78</v>
      </c>
      <c r="E14" s="1" t="s">
        <v>126</v>
      </c>
      <c r="F14" s="1" t="s">
        <v>126</v>
      </c>
      <c r="G14" s="21" t="s">
        <v>587</v>
      </c>
      <c r="H14" s="1" t="str">
        <f t="shared" ca="1" si="2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3"/>
        <v>createMovieClip</v>
      </c>
      <c r="K14" s="1" t="str">
        <f t="shared" si="4"/>
        <v>TowerMenu_mc</v>
      </c>
      <c r="L14" s="1" t="str">
        <f t="shared" si="5"/>
        <v>TowerMenu_mc</v>
      </c>
      <c r="M14" s="1" t="s">
        <v>770</v>
      </c>
      <c r="N14" s="14" t="str">
        <f t="shared" ca="1" si="6"/>
        <v/>
      </c>
      <c r="O14" s="14" t="str">
        <f t="shared" ca="1" si="1"/>
        <v>TowerMenu_mc::TowerMenu_mc:MovieClip("tower/","TowerMenu_mc","TowerMenu_mc"{)</v>
      </c>
    </row>
    <row r="15" spans="1:24" x14ac:dyDescent="0.25">
      <c r="A15" s="1"/>
      <c r="B15" s="3" t="s">
        <v>682</v>
      </c>
      <c r="C15" s="1">
        <f t="shared" ca="1" si="0"/>
        <v>1</v>
      </c>
      <c r="D15" s="1" t="s">
        <v>78</v>
      </c>
      <c r="E15" s="1" t="s">
        <v>126</v>
      </c>
      <c r="F15" s="1" t="s">
        <v>126</v>
      </c>
      <c r="G15" s="1" t="s">
        <v>586</v>
      </c>
      <c r="H15" s="1" t="str">
        <f t="shared" ca="1" si="2"/>
        <v>btnGetAll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createMovieClipSub</v>
      </c>
      <c r="K15" s="1" t="str">
        <f t="shared" si="4"/>
        <v>btnGetAll</v>
      </c>
      <c r="L15" s="1" t="str">
        <f t="shared" si="5"/>
        <v>btnGetAll</v>
      </c>
      <c r="M15" s="1" t="s">
        <v>770</v>
      </c>
      <c r="N15" s="14" t="str">
        <f t="shared" ca="1" si="6"/>
        <v>MovieClipSub * btnGetAll;</v>
      </c>
      <c r="O15" s="14" t="str">
        <f t="shared" ca="1" si="1"/>
        <v>btnGetAll= this-&gt;createMovieClipSub("btnGetAll");</v>
      </c>
    </row>
    <row r="16" spans="1:24" x14ac:dyDescent="0.25">
      <c r="A16" s="1"/>
      <c r="B16" s="4" t="s">
        <v>663</v>
      </c>
      <c r="C16" s="1">
        <f t="shared" ca="1" si="0"/>
        <v>2</v>
      </c>
      <c r="D16" s="1" t="s">
        <v>78</v>
      </c>
      <c r="E16" s="1" t="s">
        <v>126</v>
      </c>
      <c r="F16" s="1" t="s">
        <v>126</v>
      </c>
      <c r="G16" s="1" t="s">
        <v>669</v>
      </c>
      <c r="H16" s="1" t="str">
        <f t="shared" ca="1" si="2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3"/>
        <v>createCase</v>
      </c>
      <c r="K16" s="1" t="str">
        <f t="shared" ref="K16" si="18">B16</f>
        <v>btnGetAllCase</v>
      </c>
      <c r="L16" s="1" t="str">
        <f t="shared" ref="L16" si="19">B16</f>
        <v>btnGetAllCase</v>
      </c>
      <c r="M16" s="1" t="s">
        <v>770</v>
      </c>
      <c r="N16" s="14" t="str">
        <f t="shared" ca="1" si="6"/>
        <v>MCCase * btnGetAllBtnGetAllCase;</v>
      </c>
      <c r="O16" s="14" t="str">
        <f t="shared" ca="1" si="1"/>
        <v>btnGetAllBtnGetAllCase= btnGetAll-&gt;createCase("btnGetAllCase");</v>
      </c>
    </row>
    <row r="17" spans="1:15" x14ac:dyDescent="0.25">
      <c r="A17" s="1"/>
      <c r="B17" s="3" t="s">
        <v>613</v>
      </c>
      <c r="C17" s="1">
        <f t="shared" ca="1" si="0"/>
        <v>1</v>
      </c>
      <c r="D17" s="1" t="s">
        <v>78</v>
      </c>
      <c r="E17" s="1" t="s">
        <v>126</v>
      </c>
      <c r="F17" s="1" t="s">
        <v>126</v>
      </c>
      <c r="G17" s="1" t="s">
        <v>586</v>
      </c>
      <c r="H17" s="1" t="str">
        <f t="shared" ca="1" si="2"/>
        <v>btnTowerUpgr1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4"/>
        <v>btnTowerUpgr1</v>
      </c>
      <c r="L17" s="1" t="str">
        <f t="shared" si="5"/>
        <v>btnTowerUpgr1</v>
      </c>
      <c r="M17" s="1" t="s">
        <v>770</v>
      </c>
      <c r="N17" s="14" t="str">
        <f t="shared" ca="1" si="6"/>
        <v>MovieClipSub * btnTowerUpgr1;</v>
      </c>
      <c r="O17" s="14" t="str">
        <f t="shared" ca="1" si="1"/>
        <v>btnTowerUpgr1= this-&gt;createMovieClipSub("btnTowerUpgr1");</v>
      </c>
    </row>
    <row r="18" spans="1:15" x14ac:dyDescent="0.25">
      <c r="A18" s="1"/>
      <c r="B18" s="4" t="s">
        <v>668</v>
      </c>
      <c r="C18" s="1">
        <f t="shared" ref="C18" ca="1" si="20">indent(B18)</f>
        <v>2</v>
      </c>
      <c r="D18" s="1" t="s">
        <v>78</v>
      </c>
      <c r="E18" s="1" t="s">
        <v>126</v>
      </c>
      <c r="F18" s="1" t="s">
        <v>126</v>
      </c>
      <c r="G18" s="1" t="s">
        <v>669</v>
      </c>
      <c r="H18" s="1" t="str">
        <f t="shared" ref="H18" ca="1" si="21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3"/>
        <v>createCase</v>
      </c>
      <c r="K18" s="1" t="str">
        <f t="shared" ref="K18" si="22">B18</f>
        <v>btnTowerUpgrCase</v>
      </c>
      <c r="L18" s="1" t="str">
        <f t="shared" ref="L18" si="23">B18</f>
        <v>btnTowerUpgrCase</v>
      </c>
      <c r="M18" s="1" t="s">
        <v>770</v>
      </c>
      <c r="N18" s="14" t="str">
        <f t="shared" ca="1" si="6"/>
        <v>MCCase * btnTowerUpgr1BtnTowerUpgrCase;</v>
      </c>
      <c r="O18" s="14" t="str">
        <f t="shared" ca="1" si="1"/>
        <v>btnTowerUpgr1BtnTowerUpgrCase= btnTowerUpgr1-&gt;createCase("btnTowerUpgrCase");</v>
      </c>
    </row>
    <row r="19" spans="1:15" x14ac:dyDescent="0.25">
      <c r="A19" s="1"/>
      <c r="B19" s="4" t="s">
        <v>103</v>
      </c>
      <c r="C19" s="1">
        <f t="shared" ca="1" si="0"/>
        <v>2</v>
      </c>
      <c r="D19" s="1" t="s">
        <v>78</v>
      </c>
      <c r="E19" s="1" t="s">
        <v>126</v>
      </c>
      <c r="F19" s="1" t="s">
        <v>126</v>
      </c>
      <c r="G19" s="1" t="s">
        <v>671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3"/>
        <v>createText</v>
      </c>
      <c r="K19" s="1" t="str">
        <f t="shared" si="4"/>
        <v>costTXT</v>
      </c>
      <c r="L19" s="1" t="str">
        <f t="shared" si="5"/>
        <v>costTXT</v>
      </c>
      <c r="M19" s="1" t="s">
        <v>770</v>
      </c>
      <c r="N19" s="14" t="str">
        <f t="shared" ca="1" si="6"/>
        <v>MCText * btnTowerUpgr1CostTXT;</v>
      </c>
      <c r="O19" s="14" t="str">
        <f t="shared" ca="1" si="1"/>
        <v>btnTowerUpgr1CostTXT= btnTowerUpgr1-&gt;createText("costTXT");</v>
      </c>
    </row>
    <row r="20" spans="1:15" x14ac:dyDescent="0.25">
      <c r="A20" s="1"/>
      <c r="B20" s="3" t="s">
        <v>612</v>
      </c>
      <c r="C20" s="1">
        <f t="shared" ca="1" si="0"/>
        <v>1</v>
      </c>
      <c r="D20" s="1" t="s">
        <v>78</v>
      </c>
      <c r="E20" s="1" t="s">
        <v>126</v>
      </c>
      <c r="F20" s="1" t="s">
        <v>126</v>
      </c>
      <c r="G20" s="1" t="s">
        <v>586</v>
      </c>
      <c r="H20" s="1" t="str">
        <f t="shared" ca="1" si="2"/>
        <v>btnTowerUpgr2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createMovieClipSub</v>
      </c>
      <c r="K20" s="1" t="str">
        <f t="shared" si="4"/>
        <v>btnTowerUpgr2</v>
      </c>
      <c r="L20" s="1" t="str">
        <f t="shared" si="5"/>
        <v>btnTowerUpgr2</v>
      </c>
      <c r="M20" s="1" t="s">
        <v>770</v>
      </c>
      <c r="N20" s="14" t="str">
        <f t="shared" ca="1" si="6"/>
        <v>MovieClipSub * btnTowerUpgr2;</v>
      </c>
      <c r="O20" s="14" t="str">
        <f t="shared" ca="1" si="1"/>
        <v>btnTowerUpgr2= this-&gt;createMovieClipSub("btnTowerUpgr2");</v>
      </c>
    </row>
    <row r="21" spans="1:15" x14ac:dyDescent="0.25">
      <c r="A21" s="1"/>
      <c r="B21" s="4" t="s">
        <v>668</v>
      </c>
      <c r="C21" s="1">
        <f t="shared" ca="1" si="0"/>
        <v>2</v>
      </c>
      <c r="D21" s="1" t="s">
        <v>78</v>
      </c>
      <c r="E21" s="1" t="s">
        <v>126</v>
      </c>
      <c r="F21" s="1" t="s">
        <v>126</v>
      </c>
      <c r="G21" s="1" t="s">
        <v>669</v>
      </c>
      <c r="H21" s="1" t="str">
        <f t="shared" ca="1" si="2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3"/>
        <v>createCase</v>
      </c>
      <c r="K21" s="1" t="str">
        <f t="shared" si="4"/>
        <v>btnTowerUpgrCase</v>
      </c>
      <c r="L21" s="1" t="str">
        <f t="shared" si="5"/>
        <v>btnTowerUpgrCase</v>
      </c>
      <c r="M21" s="1" t="s">
        <v>770</v>
      </c>
      <c r="N21" s="14" t="str">
        <f t="shared" ca="1" si="6"/>
        <v>MCCase * btnTowerUpgr2BtnTowerUpgrCase;</v>
      </c>
      <c r="O21" s="14" t="str">
        <f t="shared" ca="1" si="1"/>
        <v>btnTowerUpgr2BtnTowerUpgrCase= btnTowerUpgr2-&gt;createCase("btnTowerUpgrCase");</v>
      </c>
    </row>
    <row r="22" spans="1:15" x14ac:dyDescent="0.25">
      <c r="A22" s="1"/>
      <c r="B22" s="4" t="s">
        <v>103</v>
      </c>
      <c r="C22" s="1">
        <f t="shared" ca="1" si="0"/>
        <v>2</v>
      </c>
      <c r="D22" s="1" t="s">
        <v>78</v>
      </c>
      <c r="E22" s="1" t="s">
        <v>126</v>
      </c>
      <c r="F22" s="1" t="s">
        <v>126</v>
      </c>
      <c r="G22" s="1" t="s">
        <v>671</v>
      </c>
      <c r="H22" s="1" t="str">
        <f t="shared" ca="1" si="2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3"/>
        <v>createText</v>
      </c>
      <c r="K22" s="1" t="str">
        <f t="shared" si="4"/>
        <v>costTXT</v>
      </c>
      <c r="L22" s="1" t="str">
        <f t="shared" si="5"/>
        <v>costTXT</v>
      </c>
      <c r="M22" s="1" t="s">
        <v>770</v>
      </c>
      <c r="N22" s="14" t="str">
        <f t="shared" ca="1" si="6"/>
        <v>MCText * btnTowerUpgr2CostTXT;</v>
      </c>
      <c r="O22" s="14" t="str">
        <f t="shared" ca="1" si="1"/>
        <v>btnTowerUpgr2CostTXT= btnTowerUpgr2-&gt;createText("costTXT");</v>
      </c>
    </row>
    <row r="23" spans="1:15" x14ac:dyDescent="0.25">
      <c r="A23" s="1"/>
      <c r="B23" s="3" t="s">
        <v>611</v>
      </c>
      <c r="C23" s="1">
        <f t="shared" ca="1" si="0"/>
        <v>1</v>
      </c>
      <c r="D23" s="1" t="s">
        <v>78</v>
      </c>
      <c r="E23" s="1" t="s">
        <v>126</v>
      </c>
      <c r="F23" s="1" t="s">
        <v>126</v>
      </c>
      <c r="G23" s="1" t="s">
        <v>586</v>
      </c>
      <c r="H23" s="1" t="str">
        <f t="shared" ca="1" si="2"/>
        <v>btnTowerUpgr3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4"/>
        <v>btnTowerUpgr3</v>
      </c>
      <c r="L23" s="1" t="str">
        <f t="shared" si="5"/>
        <v>btnTowerUpgr3</v>
      </c>
      <c r="M23" s="1" t="s">
        <v>770</v>
      </c>
      <c r="N23" s="14" t="str">
        <f t="shared" ca="1" si="6"/>
        <v>MovieClipSub * btnTowerUpgr3;</v>
      </c>
      <c r="O23" s="14" t="str">
        <f t="shared" ca="1" si="1"/>
        <v>btnTowerUpgr3= this-&gt;createMovieClipSub("btnTowerUpgr3");</v>
      </c>
    </row>
    <row r="24" spans="1:15" x14ac:dyDescent="0.25">
      <c r="A24" s="1"/>
      <c r="B24" s="4" t="s">
        <v>668</v>
      </c>
      <c r="C24" s="1">
        <f t="shared" ref="C24" ca="1" si="24">indent(B24)</f>
        <v>2</v>
      </c>
      <c r="D24" s="1" t="s">
        <v>78</v>
      </c>
      <c r="E24" s="1" t="s">
        <v>126</v>
      </c>
      <c r="F24" s="1" t="s">
        <v>126</v>
      </c>
      <c r="G24" s="1" t="s">
        <v>669</v>
      </c>
      <c r="H24" s="1" t="str">
        <f t="shared" ref="H24" ca="1" si="25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3"/>
        <v>createCase</v>
      </c>
      <c r="K24" s="1" t="str">
        <f t="shared" ref="K24" si="26">B24</f>
        <v>btnTowerUpgrCase</v>
      </c>
      <c r="L24" s="1" t="str">
        <f t="shared" ref="L24" si="27">B24</f>
        <v>btnTowerUpgrCase</v>
      </c>
      <c r="M24" s="1" t="s">
        <v>770</v>
      </c>
      <c r="N24" s="14" t="str">
        <f t="shared" ca="1" si="6"/>
        <v>MCCase * btnTowerUpgr3BtnTowerUpgrCase;</v>
      </c>
      <c r="O24" s="14" t="str">
        <f t="shared" ca="1" si="1"/>
        <v>btnTowerUpgr3BtnTowerUpgrCase= btnTowerUpgr3-&gt;createCase("btnTowerUpgrCase");</v>
      </c>
    </row>
    <row r="25" spans="1:15" x14ac:dyDescent="0.25">
      <c r="A25" s="1"/>
      <c r="B25" s="4" t="s">
        <v>103</v>
      </c>
      <c r="C25" s="1">
        <f t="shared" ca="1" si="0"/>
        <v>2</v>
      </c>
      <c r="D25" s="1" t="s">
        <v>78</v>
      </c>
      <c r="E25" s="1" t="s">
        <v>126</v>
      </c>
      <c r="F25" s="1" t="s">
        <v>126</v>
      </c>
      <c r="G25" s="1" t="s">
        <v>671</v>
      </c>
      <c r="H25" s="1" t="str">
        <f t="shared" ca="1" si="2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3"/>
        <v>createText</v>
      </c>
      <c r="K25" s="1" t="str">
        <f t="shared" si="4"/>
        <v>costTXT</v>
      </c>
      <c r="L25" s="1" t="str">
        <f t="shared" si="5"/>
        <v>costTXT</v>
      </c>
      <c r="M25" s="1" t="s">
        <v>770</v>
      </c>
      <c r="N25" s="14" t="str">
        <f t="shared" ca="1" si="6"/>
        <v>MCText * btnTowerUpgr3CostTXT;</v>
      </c>
      <c r="O25" s="14" t="str">
        <f t="shared" ca="1" si="1"/>
        <v>btnTowerUpgr3CostTXT= btnTowerUpgr3-&gt;createText("costTXT");</v>
      </c>
    </row>
    <row r="26" spans="1:15" x14ac:dyDescent="0.25">
      <c r="A26" s="1"/>
      <c r="B26" s="3" t="s">
        <v>610</v>
      </c>
      <c r="C26" s="1">
        <f t="shared" ca="1" si="0"/>
        <v>1</v>
      </c>
      <c r="D26" s="1" t="s">
        <v>78</v>
      </c>
      <c r="E26" s="1" t="s">
        <v>126</v>
      </c>
      <c r="F26" s="1" t="s">
        <v>126</v>
      </c>
      <c r="G26" s="1" t="s">
        <v>586</v>
      </c>
      <c r="H26" s="1" t="str">
        <f t="shared" ca="1" si="2"/>
        <v>btnTowerUpgr4</v>
      </c>
      <c r="I26" s="1" t="str">
        <f ca="1">IF(C26&lt;2,"this",IF(C26=C25,I25,IF(C26&gt;C25,H25, LOOKUP(1,0/(H$2:H25=I25),I$2:I26))))</f>
        <v>this</v>
      </c>
      <c r="J26" s="1" t="str">
        <f t="shared" si="3"/>
        <v>createMovieClipSub</v>
      </c>
      <c r="K26" s="1" t="str">
        <f t="shared" si="4"/>
        <v>btnTowerUpgr4</v>
      </c>
      <c r="L26" s="1" t="str">
        <f t="shared" si="5"/>
        <v>btnTowerUpgr4</v>
      </c>
      <c r="M26" s="1" t="s">
        <v>770</v>
      </c>
      <c r="N26" s="14" t="str">
        <f t="shared" ca="1" si="6"/>
        <v>MovieClipSub * btnTowerUpgr4;</v>
      </c>
      <c r="O26" s="14" t="str">
        <f t="shared" ca="1" si="1"/>
        <v>btnTowerUpgr4= this-&gt;createMovieClipSub("btnTowerUpgr4");</v>
      </c>
    </row>
    <row r="27" spans="1:15" x14ac:dyDescent="0.25">
      <c r="A27" s="1"/>
      <c r="B27" s="4" t="s">
        <v>668</v>
      </c>
      <c r="C27" s="1">
        <f t="shared" ca="1" si="0"/>
        <v>2</v>
      </c>
      <c r="D27" s="1" t="s">
        <v>78</v>
      </c>
      <c r="E27" s="1" t="s">
        <v>126</v>
      </c>
      <c r="F27" s="1" t="s">
        <v>126</v>
      </c>
      <c r="G27" s="1" t="s">
        <v>669</v>
      </c>
      <c r="H27" s="1" t="str">
        <f t="shared" ca="1" si="2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3"/>
        <v>createCase</v>
      </c>
      <c r="K27" s="1" t="str">
        <f t="shared" si="4"/>
        <v>btnTowerUpgrCase</v>
      </c>
      <c r="L27" s="1" t="str">
        <f t="shared" si="5"/>
        <v>btnTowerUpgrCase</v>
      </c>
      <c r="M27" s="1" t="s">
        <v>770</v>
      </c>
      <c r="N27" s="14" t="str">
        <f t="shared" ca="1" si="6"/>
        <v>MCCase * btnTowerUpgr4BtnTowerUpgrCase;</v>
      </c>
      <c r="O27" s="14" t="str">
        <f t="shared" ca="1" si="1"/>
        <v>btnTowerUpgr4BtnTowerUpgrCase= btnTowerUpgr4-&gt;createCase("btnTowerUpgrCase");</v>
      </c>
    </row>
    <row r="28" spans="1:15" x14ac:dyDescent="0.25">
      <c r="A28" s="1"/>
      <c r="B28" s="4" t="s">
        <v>103</v>
      </c>
      <c r="C28" s="1">
        <f t="shared" ca="1" si="0"/>
        <v>2</v>
      </c>
      <c r="D28" s="1" t="s">
        <v>78</v>
      </c>
      <c r="E28" s="1" t="s">
        <v>126</v>
      </c>
      <c r="F28" s="1" t="s">
        <v>126</v>
      </c>
      <c r="G28" s="1" t="s">
        <v>671</v>
      </c>
      <c r="H28" s="1" t="str">
        <f t="shared" ca="1" si="2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3"/>
        <v>createText</v>
      </c>
      <c r="K28" s="1" t="str">
        <f t="shared" si="4"/>
        <v>costTXT</v>
      </c>
      <c r="L28" s="1" t="str">
        <f t="shared" si="5"/>
        <v>costTXT</v>
      </c>
      <c r="M28" s="1" t="s">
        <v>770</v>
      </c>
      <c r="N28" s="14" t="str">
        <f t="shared" ca="1" si="6"/>
        <v>MCText * btnTowerUpgr4CostTXT;</v>
      </c>
      <c r="O28" s="14" t="str">
        <f t="shared" ca="1" si="1"/>
        <v>btnTowerUpgr4CostTXT= btnTowerUpgr4-&gt;createText("costTXT");</v>
      </c>
    </row>
    <row r="29" spans="1:15" x14ac:dyDescent="0.25">
      <c r="A29" s="1"/>
      <c r="B29" s="3" t="s">
        <v>667</v>
      </c>
      <c r="C29" s="1">
        <f t="shared" ca="1" si="0"/>
        <v>1</v>
      </c>
      <c r="D29" s="1" t="s">
        <v>78</v>
      </c>
      <c r="E29" s="1" t="s">
        <v>126</v>
      </c>
      <c r="F29" s="1" t="s">
        <v>126</v>
      </c>
      <c r="G29" s="1" t="s">
        <v>586</v>
      </c>
      <c r="H29" s="1" t="str">
        <f t="shared" ca="1" si="2"/>
        <v>btnUpgradeMenu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4"/>
        <v>btnUpgradeMenu</v>
      </c>
      <c r="L29" s="1" t="str">
        <f t="shared" si="5"/>
        <v>btnUpgradeMenu</v>
      </c>
      <c r="M29" s="1" t="s">
        <v>770</v>
      </c>
      <c r="N29" s="14" t="str">
        <f t="shared" ca="1" si="6"/>
        <v>MovieClipSub * btnUpgradeMenu;</v>
      </c>
      <c r="O29" s="14" t="str">
        <f t="shared" ca="1" si="1"/>
        <v>btnUpgradeMenu= this-&gt;createMovieClipSub("btnUpgradeMenu");</v>
      </c>
    </row>
    <row r="30" spans="1:15" x14ac:dyDescent="0.25">
      <c r="A30" s="1"/>
      <c r="B30" s="4" t="s">
        <v>666</v>
      </c>
      <c r="C30" s="1">
        <f t="shared" ref="C30" ca="1" si="28">indent(B30)</f>
        <v>2</v>
      </c>
      <c r="D30" s="1" t="s">
        <v>78</v>
      </c>
      <c r="E30" s="1" t="s">
        <v>126</v>
      </c>
      <c r="F30" s="1" t="s">
        <v>126</v>
      </c>
      <c r="G30" s="1" t="s">
        <v>669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3"/>
        <v>createCase</v>
      </c>
      <c r="K30" s="1" t="str">
        <f t="shared" ref="K30" si="29">B30</f>
        <v>btnUpgradeMenuCase</v>
      </c>
      <c r="L30" s="1" t="str">
        <f t="shared" ref="L30" si="30">B30</f>
        <v>btnUpgradeMenuCase</v>
      </c>
      <c r="M30" s="1" t="s">
        <v>770</v>
      </c>
      <c r="N30" s="14" t="str">
        <f t="shared" ca="1" si="6"/>
        <v>MCCase * btnUpgradeMenuBtnUpgradeMenuCase;</v>
      </c>
      <c r="O30" s="14" t="str">
        <f t="shared" ca="1" si="1"/>
        <v>btnUpgradeMenuBtnUpgradeMenuCase= btnUpgradeMenu-&gt;createCase("btnUpgradeMenuCase");</v>
      </c>
    </row>
    <row r="31" spans="1:15" x14ac:dyDescent="0.25">
      <c r="A31" s="1"/>
      <c r="B31" s="4" t="s">
        <v>756</v>
      </c>
      <c r="C31" s="1">
        <f t="shared" ref="C31" ca="1" si="31">indent(B31)</f>
        <v>2</v>
      </c>
      <c r="D31" s="1" t="s">
        <v>78</v>
      </c>
      <c r="E31" s="1" t="s">
        <v>126</v>
      </c>
      <c r="F31" s="1" t="s">
        <v>126</v>
      </c>
      <c r="G31" s="1" t="s">
        <v>669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2">CONCATENATE("create",IF(LEFT(G31,2)="MC",MID(G31,3,LEN(G31)),G31))</f>
        <v>createCase</v>
      </c>
      <c r="K31" s="1" t="str">
        <f t="shared" ref="K31" si="33">B31</f>
        <v>btnUpgradeMenuLOCKCase</v>
      </c>
      <c r="L31" s="1" t="str">
        <f t="shared" ref="L31" si="34">B31</f>
        <v>btnUpgradeMenuLOCKCase</v>
      </c>
      <c r="M31" s="1" t="s">
        <v>770</v>
      </c>
      <c r="N31" s="14" t="str">
        <f t="shared" ref="N31" ca="1" si="35">IF(C31&gt;0,G31 &amp; " * "&amp;H31 &amp;";","")</f>
        <v>MCCase * btnUpgradeMenuBtnUpgradeMenuLOCKCase;</v>
      </c>
      <c r="O31" s="14" t="str">
        <f t="shared" ca="1" si="1"/>
        <v>btnUpgradeMenuBtnUpgradeMenuLOCKCase= btnUpgradeMenu-&gt;createCase("btnUpgradeMenuLOCKCase");</v>
      </c>
    </row>
    <row r="32" spans="1:15" x14ac:dyDescent="0.25">
      <c r="A32" s="1"/>
      <c r="B32" s="4" t="s">
        <v>146</v>
      </c>
      <c r="C32" s="1">
        <f t="shared" ref="C32" ca="1" si="36">indent(B32)</f>
        <v>2</v>
      </c>
      <c r="D32" s="1" t="s">
        <v>78</v>
      </c>
      <c r="E32" s="1" t="s">
        <v>126</v>
      </c>
      <c r="F32" s="1" t="s">
        <v>126</v>
      </c>
      <c r="G32" s="1" t="s">
        <v>757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37">CONCATENATE("create",IF(LEFT(G32,2)="MC",MID(G32,3,LEN(G32)),G32))</f>
        <v>createText</v>
      </c>
      <c r="K32" s="1" t="str">
        <f t="shared" ref="K32" si="38">B32</f>
        <v>costTXT</v>
      </c>
      <c r="L32" s="1" t="str">
        <f t="shared" ref="L32" si="39">B32</f>
        <v>costTXT</v>
      </c>
      <c r="M32" s="1" t="s">
        <v>770</v>
      </c>
      <c r="N32" s="14" t="str">
        <f t="shared" ref="N32" ca="1" si="40">IF(C32&gt;0,G32 &amp; " * "&amp;H32 &amp;";","")</f>
        <v>MCText * btnUpgradeMenuCostTXT;</v>
      </c>
      <c r="O32" s="14" t="str">
        <f t="shared" ca="1" si="1"/>
        <v>btnUpgradeMenuCostTXT= btnUpgradeMenu-&gt;createText("costTXT");</v>
      </c>
    </row>
    <row r="33" spans="1:15" x14ac:dyDescent="0.25">
      <c r="A33" s="1"/>
      <c r="B33" s="3" t="s">
        <v>685</v>
      </c>
      <c r="C33" s="1">
        <f t="shared" ca="1" si="0"/>
        <v>1</v>
      </c>
      <c r="D33" s="1" t="s">
        <v>78</v>
      </c>
      <c r="E33" s="1" t="s">
        <v>126</v>
      </c>
      <c r="F33" s="1" t="s">
        <v>126</v>
      </c>
      <c r="G33" s="1" t="s">
        <v>586</v>
      </c>
      <c r="H33" s="1" t="str">
        <f t="shared" ca="1" si="2"/>
        <v>cont1</v>
      </c>
      <c r="I33" s="1" t="str">
        <f ca="1">IF(C33&lt;2,"this",IF(C33=C30,I30,IF(C33&gt;C30,H30, LOOKUP(1,0/(H$2:H30=I30),I$2:I33))))</f>
        <v>this</v>
      </c>
      <c r="J33" s="1" t="str">
        <f t="shared" si="3"/>
        <v>createMovieClipSub</v>
      </c>
      <c r="K33" s="1" t="str">
        <f t="shared" si="4"/>
        <v>cont1</v>
      </c>
      <c r="L33" s="1" t="str">
        <f t="shared" si="5"/>
        <v>cont1</v>
      </c>
      <c r="M33" s="1" t="s">
        <v>770</v>
      </c>
      <c r="N33" s="14" t="str">
        <f t="shared" ca="1" si="6"/>
        <v>MovieClipSub * cont1;</v>
      </c>
      <c r="O33" s="14" t="str">
        <f t="shared" ca="1" si="1"/>
        <v>cont1= this-&gt;createMovieClipSub("cont1");</v>
      </c>
    </row>
    <row r="34" spans="1:15" x14ac:dyDescent="0.25">
      <c r="A34" s="1"/>
      <c r="B34" s="3" t="s">
        <v>686</v>
      </c>
      <c r="C34" s="1">
        <f t="shared" ca="1" si="0"/>
        <v>1</v>
      </c>
      <c r="D34" s="1" t="s">
        <v>78</v>
      </c>
      <c r="E34" s="1" t="s">
        <v>126</v>
      </c>
      <c r="F34" s="1" t="s">
        <v>126</v>
      </c>
      <c r="G34" s="1" t="s">
        <v>586</v>
      </c>
      <c r="H34" s="1" t="str">
        <f t="shared" ca="1" si="2"/>
        <v>cont2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4"/>
        <v>cont2</v>
      </c>
      <c r="L34" s="1" t="str">
        <f t="shared" si="5"/>
        <v>cont2</v>
      </c>
      <c r="M34" s="1" t="s">
        <v>770</v>
      </c>
      <c r="N34" s="14" t="str">
        <f t="shared" ca="1" si="6"/>
        <v>MovieClipSub * cont2;</v>
      </c>
      <c r="O34" s="14" t="str">
        <f t="shared" ca="1" si="1"/>
        <v>cont2= this-&gt;createMovieClipSub("cont2");</v>
      </c>
    </row>
    <row r="35" spans="1:15" x14ac:dyDescent="0.25">
      <c r="A35" s="1"/>
      <c r="B35" s="3" t="s">
        <v>615</v>
      </c>
      <c r="C35" s="1">
        <f t="shared" ca="1" si="0"/>
        <v>1</v>
      </c>
      <c r="D35" s="1" t="s">
        <v>78</v>
      </c>
      <c r="E35" s="1" t="s">
        <v>126</v>
      </c>
      <c r="F35" s="1" t="s">
        <v>126</v>
      </c>
      <c r="G35" s="1" t="s">
        <v>586</v>
      </c>
      <c r="H35" s="1" t="str">
        <f t="shared" ca="1" si="2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4"/>
        <v>fastBuyUltraCont</v>
      </c>
      <c r="L35" s="1" t="str">
        <f t="shared" si="5"/>
        <v>fastBuyUltraCont</v>
      </c>
      <c r="M35" s="1" t="s">
        <v>770</v>
      </c>
      <c r="N35" s="14" t="str">
        <f t="shared" ca="1" si="6"/>
        <v>MovieClipSub * fastBuyUltraCont;</v>
      </c>
      <c r="O35" s="14" t="str">
        <f t="shared" ca="1" si="1"/>
        <v>fastBuyUltraCont= this-&gt;createMovieClipSub("fastBuyUltraCont");</v>
      </c>
    </row>
    <row r="36" spans="1:15" x14ac:dyDescent="0.25">
      <c r="A36" s="1"/>
      <c r="B36" s="4" t="s">
        <v>116</v>
      </c>
      <c r="C36" s="1">
        <f t="shared" ca="1" si="0"/>
        <v>2</v>
      </c>
      <c r="D36" s="1" t="s">
        <v>78</v>
      </c>
      <c r="E36" s="1" t="s">
        <v>126</v>
      </c>
      <c r="F36" s="1" t="s">
        <v>126</v>
      </c>
      <c r="G36" s="1" t="s">
        <v>586</v>
      </c>
      <c r="H36" s="1" t="str">
        <f t="shared" ca="1" si="2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3"/>
        <v>createMovieClipSub</v>
      </c>
      <c r="K36" s="1" t="str">
        <f t="shared" si="4"/>
        <v>btnFastBuyUltra</v>
      </c>
      <c r="L36" s="1" t="str">
        <f t="shared" si="5"/>
        <v>btnFastBuyUltra</v>
      </c>
      <c r="M36" s="1" t="s">
        <v>770</v>
      </c>
      <c r="N36" s="14" t="str">
        <f t="shared" ca="1" si="6"/>
        <v>MovieClipSub * fastBuyUltraContBtnFastBuyUltra;</v>
      </c>
      <c r="O36" s="14" t="str">
        <f t="shared" ca="1" si="1"/>
        <v>fastBuyUltraContBtnFastBuyUltra= fastBuyUltraCont-&gt;createMovieClipSub("btnFastBuyUltra");</v>
      </c>
    </row>
    <row r="37" spans="1:15" x14ac:dyDescent="0.25">
      <c r="A37" s="1"/>
      <c r="B37" s="5" t="s">
        <v>103</v>
      </c>
      <c r="C37" s="1">
        <f t="shared" ca="1" si="0"/>
        <v>3</v>
      </c>
      <c r="D37" s="1" t="s">
        <v>78</v>
      </c>
      <c r="E37" s="1" t="s">
        <v>126</v>
      </c>
      <c r="F37" s="1" t="s">
        <v>126</v>
      </c>
      <c r="G37" s="1" t="s">
        <v>671</v>
      </c>
      <c r="H37" s="1" t="str">
        <f t="shared" ca="1" si="2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3"/>
        <v>createText</v>
      </c>
      <c r="K37" s="1" t="str">
        <f t="shared" si="4"/>
        <v>costTXT</v>
      </c>
      <c r="L37" s="1" t="str">
        <f t="shared" si="5"/>
        <v>costTXT</v>
      </c>
      <c r="M37" s="1" t="s">
        <v>770</v>
      </c>
      <c r="N37" s="14" t="str">
        <f t="shared" ca="1" si="6"/>
        <v>MCText * fastBuyUltraContBtnFastBuyUltraCostTXT;</v>
      </c>
      <c r="O37" s="14" t="str">
        <f t="shared" ca="1" si="1"/>
        <v>fastBuyUltraContBtnFastBuyUltraCostTXT= fastBuyUltraContBtnFastBuyUltra-&gt;createText("costTXT");</v>
      </c>
    </row>
    <row r="38" spans="1:15" x14ac:dyDescent="0.25">
      <c r="A38" s="1"/>
      <c r="B38" s="5" t="s">
        <v>117</v>
      </c>
      <c r="C38" s="1">
        <f t="shared" ca="1" si="0"/>
        <v>3</v>
      </c>
      <c r="D38" s="1" t="s">
        <v>78</v>
      </c>
      <c r="E38" s="1" t="s">
        <v>126</v>
      </c>
      <c r="F38" s="1" t="s">
        <v>126</v>
      </c>
      <c r="G38" s="1" t="s">
        <v>669</v>
      </c>
      <c r="H38" s="1" t="str">
        <f t="shared" ca="1" si="2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3"/>
        <v>createCase</v>
      </c>
      <c r="K38" s="1" t="str">
        <f t="shared" si="4"/>
        <v>fastBuyUltraCase</v>
      </c>
      <c r="L38" s="1" t="str">
        <f t="shared" si="5"/>
        <v>fastBuyUltraCase</v>
      </c>
      <c r="M38" s="1" t="s">
        <v>770</v>
      </c>
      <c r="N38" s="14" t="str">
        <f t="shared" ca="1" si="6"/>
        <v>MCCase * fastBuyUltraContBtnFastBuyUltraFastBuyUltraCase;</v>
      </c>
      <c r="O38" s="14" t="str">
        <f t="shared" ca="1" si="1"/>
        <v>fastBuyUltraContBtnFastBuyUltraFastBuyUltraCase= fastBuyUltraContBtnFastBuyUltra-&gt;createCase("fastBuyUltraCase");</v>
      </c>
    </row>
    <row r="39" spans="1:15" x14ac:dyDescent="0.25">
      <c r="A39" s="1"/>
      <c r="B39" s="4" t="s">
        <v>147</v>
      </c>
      <c r="C39" s="1">
        <f t="shared" ref="C39:C42" ca="1" si="41">indent(B39)</f>
        <v>2</v>
      </c>
      <c r="D39" s="1" t="s">
        <v>78</v>
      </c>
      <c r="E39" s="1" t="s">
        <v>126</v>
      </c>
      <c r="F39" s="1" t="s">
        <v>126</v>
      </c>
      <c r="G39" s="1" t="s">
        <v>586</v>
      </c>
      <c r="H39" s="1" t="str">
        <f t="shared" ref="H39:H42" ca="1" si="42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3">CONCATENATE("create",IF(LEFT(G39,2)="MC",MID(G39,3,LEN(G39)),G39))</f>
        <v>createMovieClipSub</v>
      </c>
      <c r="K39" s="1" t="str">
        <f t="shared" ref="K39:K42" si="44">B39</f>
        <v>indicator1</v>
      </c>
      <c r="L39" s="1" t="str">
        <f t="shared" ref="L39:L42" si="45">B39</f>
        <v>indicator1</v>
      </c>
      <c r="M39" s="1" t="s">
        <v>770</v>
      </c>
      <c r="N39" s="14" t="str">
        <f t="shared" ref="N39:N42" ca="1" si="46">IF(C39&gt;0,G39 &amp; " * "&amp;H39 &amp;";","")</f>
        <v>MovieClipSub * fastBuyUltraContIndicator1;</v>
      </c>
      <c r="O39" s="14" t="str">
        <f t="shared" ca="1" si="1"/>
        <v>fastBuyUltraContIndicator1= fastBuyUltraCont-&gt;createMovieClipSub("indicator1");</v>
      </c>
    </row>
    <row r="40" spans="1:15" x14ac:dyDescent="0.25">
      <c r="A40" s="1"/>
      <c r="B40" s="4" t="s">
        <v>148</v>
      </c>
      <c r="C40" s="1">
        <f t="shared" ca="1" si="41"/>
        <v>2</v>
      </c>
      <c r="D40" s="1" t="s">
        <v>78</v>
      </c>
      <c r="E40" s="1" t="s">
        <v>126</v>
      </c>
      <c r="F40" s="1" t="s">
        <v>126</v>
      </c>
      <c r="G40" s="1" t="s">
        <v>586</v>
      </c>
      <c r="H40" s="1" t="str">
        <f t="shared" ca="1" si="42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3"/>
        <v>createMovieClipSub</v>
      </c>
      <c r="K40" s="1" t="str">
        <f t="shared" si="44"/>
        <v>indicator2</v>
      </c>
      <c r="L40" s="1" t="str">
        <f t="shared" si="45"/>
        <v>indicator2</v>
      </c>
      <c r="M40" s="1" t="s">
        <v>770</v>
      </c>
      <c r="N40" s="14" t="str">
        <f t="shared" ca="1" si="46"/>
        <v>MovieClipSub * fastBuyUltraContIndicator2;</v>
      </c>
      <c r="O40" s="14" t="str">
        <f t="shared" ca="1" si="1"/>
        <v>fastBuyUltraContIndicator2= fastBuyUltraCont-&gt;createMovieClipSub("indicator2");</v>
      </c>
    </row>
    <row r="41" spans="1:15" x14ac:dyDescent="0.25">
      <c r="A41" s="1"/>
      <c r="B41" s="4" t="s">
        <v>149</v>
      </c>
      <c r="C41" s="1">
        <f t="shared" ca="1" si="41"/>
        <v>2</v>
      </c>
      <c r="D41" s="1" t="s">
        <v>78</v>
      </c>
      <c r="E41" s="1" t="s">
        <v>126</v>
      </c>
      <c r="F41" s="1" t="s">
        <v>126</v>
      </c>
      <c r="G41" s="1" t="s">
        <v>586</v>
      </c>
      <c r="H41" s="1" t="str">
        <f t="shared" ca="1" si="42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3"/>
        <v>createMovieClipSub</v>
      </c>
      <c r="K41" s="1" t="str">
        <f t="shared" si="44"/>
        <v>indicator3</v>
      </c>
      <c r="L41" s="1" t="str">
        <f t="shared" si="45"/>
        <v>indicator3</v>
      </c>
      <c r="M41" s="1" t="s">
        <v>770</v>
      </c>
      <c r="N41" s="14" t="str">
        <f t="shared" ca="1" si="46"/>
        <v>MovieClipSub * fastBuyUltraContIndicator3;</v>
      </c>
      <c r="O41" s="14" t="str">
        <f t="shared" ca="1" si="1"/>
        <v>fastBuyUltraContIndicator3= fastBuyUltraCont-&gt;createMovieClipSub("indicator3");</v>
      </c>
    </row>
    <row r="42" spans="1:15" x14ac:dyDescent="0.25">
      <c r="A42" s="1"/>
      <c r="B42" s="4" t="s">
        <v>150</v>
      </c>
      <c r="C42" s="1">
        <f t="shared" ca="1" si="41"/>
        <v>2</v>
      </c>
      <c r="D42" s="1" t="s">
        <v>78</v>
      </c>
      <c r="E42" s="1" t="s">
        <v>126</v>
      </c>
      <c r="F42" s="1" t="s">
        <v>126</v>
      </c>
      <c r="G42" s="1" t="s">
        <v>586</v>
      </c>
      <c r="H42" s="1" t="str">
        <f t="shared" ca="1" si="42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3"/>
        <v>createMovieClipSub</v>
      </c>
      <c r="K42" s="1" t="str">
        <f t="shared" si="44"/>
        <v>indicator4</v>
      </c>
      <c r="L42" s="1" t="str">
        <f t="shared" si="45"/>
        <v>indicator4</v>
      </c>
      <c r="M42" s="1" t="s">
        <v>770</v>
      </c>
      <c r="N42" s="14" t="str">
        <f t="shared" ca="1" si="46"/>
        <v>MovieClipSub * fastBuyUltraContIndicator4;</v>
      </c>
      <c r="O42" s="14" t="str">
        <f t="shared" ca="1" si="1"/>
        <v>fastBuyUltraContIndicator4= fastBuyUltraCont-&gt;createMovieClipSub("indicator4");</v>
      </c>
    </row>
    <row r="43" spans="1:15" x14ac:dyDescent="0.25">
      <c r="A43" s="1"/>
      <c r="B43" s="3" t="s">
        <v>614</v>
      </c>
      <c r="C43" s="1">
        <f t="shared" ca="1" si="0"/>
        <v>1</v>
      </c>
      <c r="D43" s="1" t="s">
        <v>78</v>
      </c>
      <c r="E43" s="1" t="s">
        <v>126</v>
      </c>
      <c r="F43" s="1" t="s">
        <v>126</v>
      </c>
      <c r="G43" s="1" t="s">
        <v>586</v>
      </c>
      <c r="H43" s="1" t="str">
        <f t="shared" ca="1" si="2"/>
        <v>sphereSlot1</v>
      </c>
      <c r="I43" s="1" t="str">
        <f ca="1">IF(C43&lt;2,"this",IF(C43=C38,I38,IF(C43&gt;C38,H38, LOOKUP(1,0/(H$2:H38=I38),I$2:I43))))</f>
        <v>this</v>
      </c>
      <c r="J43" s="1" t="str">
        <f t="shared" si="3"/>
        <v>createMovieClipSub</v>
      </c>
      <c r="K43" s="1" t="str">
        <f t="shared" si="4"/>
        <v>sphereSlot1</v>
      </c>
      <c r="L43" s="1" t="str">
        <f t="shared" si="5"/>
        <v>sphereSlot1</v>
      </c>
      <c r="M43" s="1" t="s">
        <v>770</v>
      </c>
      <c r="N43" s="14" t="str">
        <f t="shared" ca="1" si="6"/>
        <v>MovieClipSub * sphereSlot1;</v>
      </c>
      <c r="O43" s="14" t="str">
        <f t="shared" ca="1" si="1"/>
        <v>sphereSlot1= this-&gt;createMovieClipSub("sphereSlot1");</v>
      </c>
    </row>
    <row r="44" spans="1:15" x14ac:dyDescent="0.25">
      <c r="A44" s="1"/>
      <c r="B44" s="4" t="s">
        <v>665</v>
      </c>
      <c r="C44" s="1">
        <f t="shared" ref="C44" ca="1" si="47">indent(B44)</f>
        <v>2</v>
      </c>
      <c r="D44" s="1" t="s">
        <v>78</v>
      </c>
      <c r="E44" s="1" t="s">
        <v>126</v>
      </c>
      <c r="F44" s="1" t="s">
        <v>126</v>
      </c>
      <c r="G44" s="1" t="s">
        <v>669</v>
      </c>
      <c r="H44" s="1" t="str">
        <f t="shared" ref="H44" ca="1" si="48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3"/>
        <v>createCase</v>
      </c>
      <c r="K44" s="1" t="str">
        <f t="shared" ref="K44" si="49">B44</f>
        <v>sphereSlotCase</v>
      </c>
      <c r="L44" s="1" t="str">
        <f t="shared" ref="L44" si="50">B44</f>
        <v>sphereSlotCase</v>
      </c>
      <c r="M44" s="1" t="s">
        <v>770</v>
      </c>
      <c r="N44" s="14" t="str">
        <f t="shared" ca="1" si="6"/>
        <v>MCCase * sphereSlot1SphereSlotCase;</v>
      </c>
      <c r="O44" s="14" t="str">
        <f t="shared" ca="1" si="1"/>
        <v>sphereSlot1SphereSlotCase= sphereSlot1-&gt;createCase("sphereSlotCase");</v>
      </c>
    </row>
    <row r="45" spans="1:15" x14ac:dyDescent="0.25">
      <c r="A45" s="58" t="s">
        <v>716</v>
      </c>
      <c r="B45" s="4" t="s">
        <v>110</v>
      </c>
      <c r="C45" s="1">
        <f t="shared" ca="1" si="0"/>
        <v>2</v>
      </c>
      <c r="D45" s="1" t="s">
        <v>78</v>
      </c>
      <c r="E45" s="1" t="s">
        <v>126</v>
      </c>
      <c r="F45" s="1" t="s">
        <v>126</v>
      </c>
      <c r="G45" s="1" t="s">
        <v>766</v>
      </c>
      <c r="H45" s="1" t="str">
        <f t="shared" ca="1" si="2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3"/>
        <v>createMovieClip</v>
      </c>
      <c r="K45" s="1" t="s">
        <v>719</v>
      </c>
      <c r="L45" s="1" t="s">
        <v>719</v>
      </c>
      <c r="M45" s="1" t="s">
        <v>770</v>
      </c>
      <c r="N45" s="14" t="str">
        <f t="shared" ca="1" si="6"/>
        <v>MovieClip * sphereSlot1SphereAnima;</v>
      </c>
      <c r="O45" s="14" t="str">
        <f t="shared" ca="1" si="1"/>
        <v>sphereSlot1SphereAnima= sphereSlot1-&gt;createMovieClip("sphereAnima","tower/","TowerMenuSphere_mc","TowerMenuSphere_mc");</v>
      </c>
    </row>
    <row r="46" spans="1:15" x14ac:dyDescent="0.25">
      <c r="A46" s="59"/>
      <c r="B46" s="37" t="s">
        <v>111</v>
      </c>
      <c r="C46" s="1">
        <f t="shared" ca="1" si="0"/>
        <v>3</v>
      </c>
      <c r="D46" s="1" t="s">
        <v>78</v>
      </c>
      <c r="E46" s="1" t="s">
        <v>126</v>
      </c>
      <c r="F46" s="1" t="s">
        <v>126</v>
      </c>
      <c r="G46" s="1" t="s">
        <v>586</v>
      </c>
      <c r="H46" s="1" t="str">
        <f t="shared" ca="1" si="2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3"/>
        <v>createMovieClipSub</v>
      </c>
      <c r="K46" s="1" t="str">
        <f t="shared" si="4"/>
        <v>fire</v>
      </c>
      <c r="L46" s="1" t="str">
        <f t="shared" si="5"/>
        <v>fire</v>
      </c>
      <c r="M46" s="1" t="s">
        <v>770</v>
      </c>
      <c r="N46" s="14" t="str">
        <f t="shared" ca="1" si="6"/>
        <v>MovieClipSub * sphereSlot1SphereAnimaFire;</v>
      </c>
      <c r="O46" s="14" t="str">
        <f t="shared" ca="1" si="1"/>
        <v>sphereSlot1SphereAnimaFire= sphereSlot1SphereAnima-&gt;createMovieClipSub("fire");</v>
      </c>
    </row>
    <row r="47" spans="1:15" x14ac:dyDescent="0.25">
      <c r="A47" s="59"/>
      <c r="B47" s="37" t="s">
        <v>112</v>
      </c>
      <c r="C47" s="1">
        <f t="shared" ca="1" si="0"/>
        <v>3</v>
      </c>
      <c r="D47" s="1" t="s">
        <v>78</v>
      </c>
      <c r="E47" s="1" t="s">
        <v>126</v>
      </c>
      <c r="F47" s="1" t="s">
        <v>126</v>
      </c>
      <c r="G47" s="1" t="s">
        <v>586</v>
      </c>
      <c r="H47" s="1" t="str">
        <f t="shared" ca="1" si="2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3"/>
        <v>createMovieClipSub</v>
      </c>
      <c r="K47" s="1" t="str">
        <f t="shared" si="4"/>
        <v>ice</v>
      </c>
      <c r="L47" s="1" t="str">
        <f t="shared" si="5"/>
        <v>ice</v>
      </c>
      <c r="M47" s="1" t="s">
        <v>770</v>
      </c>
      <c r="N47" s="14" t="str">
        <f t="shared" ca="1" si="6"/>
        <v>MovieClipSub * sphereSlot1SphereAnimaIce;</v>
      </c>
      <c r="O47" s="14" t="str">
        <f t="shared" ca="1" si="1"/>
        <v>sphereSlot1SphereAnimaIce= sphereSlot1SphereAnima-&gt;createMovieClipSub("ice");</v>
      </c>
    </row>
    <row r="48" spans="1:15" x14ac:dyDescent="0.25">
      <c r="A48" s="59"/>
      <c r="B48" s="37" t="s">
        <v>113</v>
      </c>
      <c r="C48" s="1">
        <f t="shared" ca="1" si="0"/>
        <v>3</v>
      </c>
      <c r="D48" s="1" t="s">
        <v>78</v>
      </c>
      <c r="E48" s="1" t="s">
        <v>126</v>
      </c>
      <c r="F48" s="1" t="s">
        <v>126</v>
      </c>
      <c r="G48" s="1" t="s">
        <v>586</v>
      </c>
      <c r="H48" s="1" t="str">
        <f t="shared" ca="1" si="2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3"/>
        <v>createMovieClipSub</v>
      </c>
      <c r="K48" s="1" t="str">
        <f t="shared" si="4"/>
        <v>stone</v>
      </c>
      <c r="L48" s="1" t="str">
        <f t="shared" si="5"/>
        <v>stone</v>
      </c>
      <c r="M48" s="1" t="s">
        <v>770</v>
      </c>
      <c r="N48" s="14" t="str">
        <f t="shared" ca="1" si="6"/>
        <v>MovieClipSub * sphereSlot1SphereAnimaStone;</v>
      </c>
      <c r="O48" s="14" t="str">
        <f t="shared" ca="1" si="1"/>
        <v>sphereSlot1SphereAnimaStone= sphereSlot1SphereAnima-&gt;createMovieClipSub("stone");</v>
      </c>
    </row>
    <row r="49" spans="1:15" x14ac:dyDescent="0.25">
      <c r="A49" s="60"/>
      <c r="B49" s="37" t="s">
        <v>114</v>
      </c>
      <c r="C49" s="1">
        <f t="shared" ca="1" si="0"/>
        <v>3</v>
      </c>
      <c r="D49" s="1" t="s">
        <v>78</v>
      </c>
      <c r="E49" s="1" t="s">
        <v>126</v>
      </c>
      <c r="F49" s="1" t="s">
        <v>126</v>
      </c>
      <c r="G49" s="1" t="s">
        <v>586</v>
      </c>
      <c r="H49" s="1" t="str">
        <f t="shared" ca="1" si="2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3"/>
        <v>createMovieClipSub</v>
      </c>
      <c r="K49" s="1" t="str">
        <f t="shared" si="4"/>
        <v>levin</v>
      </c>
      <c r="L49" s="1" t="str">
        <f t="shared" si="5"/>
        <v>levin</v>
      </c>
      <c r="M49" s="1" t="s">
        <v>770</v>
      </c>
      <c r="N49" s="14" t="str">
        <f t="shared" ca="1" si="6"/>
        <v>MovieClipSub * sphereSlot1SphereAnimaLevin;</v>
      </c>
      <c r="O49" s="14" t="str">
        <f t="shared" ca="1" si="1"/>
        <v>sphereSlot1SphereAnimaLevin= sphereSlot1SphereAnima-&gt;createMovieClipSub("levin");</v>
      </c>
    </row>
    <row r="50" spans="1:15" x14ac:dyDescent="0.25">
      <c r="A50" s="1"/>
      <c r="B50" s="3" t="s">
        <v>659</v>
      </c>
      <c r="C50" s="1">
        <f t="shared" ca="1" si="0"/>
        <v>1</v>
      </c>
      <c r="D50" s="1" t="s">
        <v>78</v>
      </c>
      <c r="E50" s="1" t="s">
        <v>126</v>
      </c>
      <c r="F50" s="1" t="s">
        <v>126</v>
      </c>
      <c r="G50" s="1" t="s">
        <v>586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createMovieClipSub</v>
      </c>
      <c r="K50" s="1" t="str">
        <f t="shared" si="4"/>
        <v>sphereSlot2</v>
      </c>
      <c r="L50" s="1" t="str">
        <f t="shared" si="5"/>
        <v>sphereSlot2</v>
      </c>
      <c r="M50" s="1" t="s">
        <v>770</v>
      </c>
      <c r="N50" s="14" t="str">
        <f t="shared" ca="1" si="6"/>
        <v>MovieClipSub * sphereSlot2;</v>
      </c>
      <c r="O50" s="14" t="str">
        <f t="shared" ca="1" si="1"/>
        <v>sphereSlot2= this-&gt;createMovieClipSub("sphereSlot2");</v>
      </c>
    </row>
    <row r="51" spans="1:15" x14ac:dyDescent="0.25">
      <c r="A51" s="1"/>
      <c r="B51" s="4" t="s">
        <v>665</v>
      </c>
      <c r="C51" s="1">
        <f t="shared" ca="1" si="0"/>
        <v>2</v>
      </c>
      <c r="D51" s="1" t="s">
        <v>78</v>
      </c>
      <c r="E51" s="1" t="s">
        <v>126</v>
      </c>
      <c r="F51" s="1" t="s">
        <v>126</v>
      </c>
      <c r="G51" s="1" t="s">
        <v>669</v>
      </c>
      <c r="H51" s="1" t="str">
        <f t="shared" ref="H51:H52" ca="1" si="51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3"/>
        <v>createCase</v>
      </c>
      <c r="K51" s="1" t="str">
        <f t="shared" si="4"/>
        <v>sphereSlotCase</v>
      </c>
      <c r="L51" s="1" t="str">
        <f t="shared" si="5"/>
        <v>sphereSlotCase</v>
      </c>
      <c r="M51" s="1" t="s">
        <v>770</v>
      </c>
      <c r="N51" s="14" t="str">
        <f t="shared" ca="1" si="6"/>
        <v>MCCase * sphereSlot2SphereSlotCase;</v>
      </c>
      <c r="O51" s="14" t="str">
        <f t="shared" ca="1" si="1"/>
        <v>sphereSlot2SphereSlotCase= sphereSlot2-&gt;createCase("sphereSlotCase");</v>
      </c>
    </row>
    <row r="52" spans="1:15" x14ac:dyDescent="0.25">
      <c r="A52" s="1" t="s">
        <v>719</v>
      </c>
      <c r="B52" s="4" t="s">
        <v>110</v>
      </c>
      <c r="C52" s="1">
        <f t="shared" ref="C52" ca="1" si="52">indent(B52)</f>
        <v>2</v>
      </c>
      <c r="D52" s="1" t="s">
        <v>78</v>
      </c>
      <c r="E52" s="1" t="s">
        <v>126</v>
      </c>
      <c r="F52" s="1" t="s">
        <v>126</v>
      </c>
      <c r="G52" s="1" t="s">
        <v>766</v>
      </c>
      <c r="H52" s="1" t="str">
        <f t="shared" ca="1" si="51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3"/>
        <v>createMovieClip</v>
      </c>
      <c r="K52" s="1" t="s">
        <v>719</v>
      </c>
      <c r="L52" s="1" t="s">
        <v>719</v>
      </c>
      <c r="M52" s="1" t="s">
        <v>770</v>
      </c>
      <c r="N52" s="14" t="str">
        <f t="shared" ca="1" si="6"/>
        <v>MovieClip * sphereSlot2SphereAnima;</v>
      </c>
      <c r="O52" s="14" t="str">
        <f t="shared" ca="1" si="1"/>
        <v>sphereSlot2SphereAnima= sphereSlot2-&gt;createMovieClip("sphereAnima","tower/","TowerMenuSphere_mc","TowerMenuSphere_mc");</v>
      </c>
    </row>
    <row r="53" spans="1:15" x14ac:dyDescent="0.25">
      <c r="A53" s="1" t="s">
        <v>684</v>
      </c>
      <c r="B53" s="37" t="s">
        <v>662</v>
      </c>
      <c r="C53" s="1">
        <f t="shared" ca="1" si="0"/>
        <v>3</v>
      </c>
      <c r="D53" s="1" t="s">
        <v>78</v>
      </c>
      <c r="E53" s="1" t="s">
        <v>126</v>
      </c>
      <c r="F53" s="1" t="s">
        <v>126</v>
      </c>
      <c r="G53" s="1" t="s">
        <v>586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3"/>
        <v>createMovieClipSub</v>
      </c>
      <c r="K53" s="1" t="str">
        <f t="shared" si="4"/>
        <v>fire</v>
      </c>
      <c r="L53" s="1" t="str">
        <f t="shared" si="5"/>
        <v>fire</v>
      </c>
      <c r="M53" s="1" t="s">
        <v>770</v>
      </c>
      <c r="N53" s="14" t="str">
        <f t="shared" ca="1" si="6"/>
        <v>MovieClipSub * sphereSlot2SphereAnimaFire;</v>
      </c>
      <c r="O53" s="14" t="str">
        <f t="shared" ca="1" si="1"/>
        <v>sphereSlot2SphereAnimaFire= sphereSlot2SphereAnima-&gt;createMovieClipSub("fire");</v>
      </c>
    </row>
    <row r="54" spans="1:15" x14ac:dyDescent="0.25">
      <c r="A54" s="1"/>
      <c r="B54" s="37" t="s">
        <v>112</v>
      </c>
      <c r="C54" s="1">
        <f t="shared" ca="1" si="0"/>
        <v>3</v>
      </c>
      <c r="D54" s="1" t="s">
        <v>78</v>
      </c>
      <c r="E54" s="1" t="s">
        <v>126</v>
      </c>
      <c r="F54" s="1" t="s">
        <v>126</v>
      </c>
      <c r="G54" s="1" t="s">
        <v>586</v>
      </c>
      <c r="H54" s="1" t="str">
        <f t="shared" ca="1" si="2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3"/>
        <v>createMovieClipSub</v>
      </c>
      <c r="K54" s="1" t="str">
        <f t="shared" si="4"/>
        <v>ice</v>
      </c>
      <c r="L54" s="1" t="str">
        <f t="shared" si="5"/>
        <v>ice</v>
      </c>
      <c r="M54" s="1" t="s">
        <v>770</v>
      </c>
      <c r="N54" s="14" t="str">
        <f t="shared" ca="1" si="6"/>
        <v>MovieClipSub * sphereSlot2SphereAnimaIce;</v>
      </c>
      <c r="O54" s="14" t="str">
        <f t="shared" ca="1" si="1"/>
        <v>sphereSlot2SphereAnimaIce= sphereSlot2SphereAnima-&gt;createMovieClipSub("ice");</v>
      </c>
    </row>
    <row r="55" spans="1:15" x14ac:dyDescent="0.25">
      <c r="A55" s="1"/>
      <c r="B55" s="37" t="s">
        <v>113</v>
      </c>
      <c r="C55" s="1">
        <f t="shared" ca="1" si="0"/>
        <v>3</v>
      </c>
      <c r="D55" s="1" t="s">
        <v>78</v>
      </c>
      <c r="E55" s="1" t="s">
        <v>126</v>
      </c>
      <c r="F55" s="1" t="s">
        <v>126</v>
      </c>
      <c r="G55" s="1" t="s">
        <v>586</v>
      </c>
      <c r="H55" s="1" t="str">
        <f t="shared" ca="1" si="2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3"/>
        <v>createMovieClipSub</v>
      </c>
      <c r="K55" s="1" t="str">
        <f t="shared" si="4"/>
        <v>stone</v>
      </c>
      <c r="L55" s="1" t="str">
        <f t="shared" si="5"/>
        <v>stone</v>
      </c>
      <c r="M55" s="1" t="s">
        <v>770</v>
      </c>
      <c r="N55" s="14" t="str">
        <f t="shared" ca="1" si="6"/>
        <v>MovieClipSub * sphereSlot2SphereAnimaStone;</v>
      </c>
      <c r="O55" s="14" t="str">
        <f t="shared" ca="1" si="1"/>
        <v>sphereSlot2SphereAnimaStone= sphereSlot2SphereAnima-&gt;createMovieClipSub("stone");</v>
      </c>
    </row>
    <row r="56" spans="1:15" x14ac:dyDescent="0.25">
      <c r="A56" s="1"/>
      <c r="B56" s="37" t="s">
        <v>114</v>
      </c>
      <c r="C56" s="1">
        <f t="shared" ca="1" si="0"/>
        <v>3</v>
      </c>
      <c r="D56" s="1" t="s">
        <v>78</v>
      </c>
      <c r="E56" s="1" t="s">
        <v>126</v>
      </c>
      <c r="F56" s="1" t="s">
        <v>126</v>
      </c>
      <c r="G56" s="1" t="s">
        <v>586</v>
      </c>
      <c r="H56" s="1" t="str">
        <f t="shared" ca="1" si="2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3"/>
        <v>createMovieClipSub</v>
      </c>
      <c r="K56" s="1" t="str">
        <f t="shared" si="4"/>
        <v>levin</v>
      </c>
      <c r="L56" s="1" t="str">
        <f t="shared" si="5"/>
        <v>levin</v>
      </c>
      <c r="M56" s="1" t="s">
        <v>770</v>
      </c>
      <c r="N56" s="14" t="str">
        <f t="shared" ca="1" si="6"/>
        <v>MovieClipSub * sphereSlot2SphereAnimaLevin;</v>
      </c>
      <c r="O56" s="14" t="str">
        <f t="shared" ca="1" si="1"/>
        <v>sphereSlot2SphereAnimaLevin= sphereSlot2SphereAnima-&gt;createMovieClipSub("levin");</v>
      </c>
    </row>
    <row r="57" spans="1:15" x14ac:dyDescent="0.25">
      <c r="A57" s="1"/>
      <c r="B57" s="3" t="s">
        <v>660</v>
      </c>
      <c r="C57" s="1">
        <f t="shared" ca="1" si="0"/>
        <v>1</v>
      </c>
      <c r="D57" s="1" t="s">
        <v>78</v>
      </c>
      <c r="E57" s="1" t="s">
        <v>126</v>
      </c>
      <c r="F57" s="1" t="s">
        <v>126</v>
      </c>
      <c r="G57" s="1" t="s">
        <v>586</v>
      </c>
      <c r="H57" s="1" t="str">
        <f t="shared" ca="1" si="2"/>
        <v>sphereSlot3</v>
      </c>
      <c r="I57" s="1" t="str">
        <f ca="1">IF(C57&lt;2,"this",IF(C57=C56,I56,IF(C57&gt;C56,H56, LOOKUP(1,0/(H$2:H56=I56),I$2:I57))))</f>
        <v>this</v>
      </c>
      <c r="J57" s="1" t="str">
        <f t="shared" si="3"/>
        <v>createMovieClipSub</v>
      </c>
      <c r="K57" s="1" t="str">
        <f t="shared" si="4"/>
        <v>sphereSlot3</v>
      </c>
      <c r="L57" s="1" t="str">
        <f t="shared" si="5"/>
        <v>sphereSlot3</v>
      </c>
      <c r="M57" s="1" t="s">
        <v>770</v>
      </c>
      <c r="N57" s="14" t="str">
        <f t="shared" ca="1" si="6"/>
        <v>MovieClipSub * sphereSlot3;</v>
      </c>
      <c r="O57" s="14" t="str">
        <f t="shared" ca="1" si="1"/>
        <v>sphereSlot3= this-&gt;createMovieClipSub("sphereSlot3");</v>
      </c>
    </row>
    <row r="58" spans="1:15" x14ac:dyDescent="0.25">
      <c r="A58" s="1"/>
      <c r="B58" s="4" t="s">
        <v>665</v>
      </c>
      <c r="C58" s="1">
        <f t="shared" ref="C58:C59" ca="1" si="53">indent(B58)</f>
        <v>2</v>
      </c>
      <c r="D58" s="1" t="s">
        <v>78</v>
      </c>
      <c r="E58" s="1" t="s">
        <v>126</v>
      </c>
      <c r="F58" s="1" t="s">
        <v>126</v>
      </c>
      <c r="G58" s="1" t="s">
        <v>669</v>
      </c>
      <c r="H58" s="1" t="str">
        <f t="shared" ca="1" si="2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3"/>
        <v>createCase</v>
      </c>
      <c r="K58" s="1" t="str">
        <f t="shared" ref="K58:K59" si="54">B58</f>
        <v>sphereSlotCase</v>
      </c>
      <c r="L58" s="1" t="str">
        <f t="shared" ref="L58:L59" si="55">B58</f>
        <v>sphereSlotCase</v>
      </c>
      <c r="M58" s="1" t="s">
        <v>770</v>
      </c>
      <c r="N58" s="14" t="str">
        <f t="shared" ca="1" si="6"/>
        <v>MCCase * sphereSlot3SphereSlotCase;</v>
      </c>
      <c r="O58" s="14" t="str">
        <f t="shared" ca="1" si="1"/>
        <v>sphereSlot3SphereSlotCase= sphereSlot3-&gt;createCase("sphereSlotCase");</v>
      </c>
    </row>
    <row r="59" spans="1:15" x14ac:dyDescent="0.25">
      <c r="A59" s="1"/>
      <c r="B59" s="4" t="s">
        <v>110</v>
      </c>
      <c r="C59" s="1">
        <f t="shared" ca="1" si="53"/>
        <v>2</v>
      </c>
      <c r="D59" s="1" t="s">
        <v>78</v>
      </c>
      <c r="E59" s="1" t="s">
        <v>126</v>
      </c>
      <c r="F59" s="1" t="s">
        <v>126</v>
      </c>
      <c r="G59" s="1" t="s">
        <v>766</v>
      </c>
      <c r="H59" s="1" t="str">
        <f t="shared" ca="1" si="2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3"/>
        <v>createMovieClip</v>
      </c>
      <c r="K59" s="1" t="s">
        <v>719</v>
      </c>
      <c r="L59" s="1" t="s">
        <v>719</v>
      </c>
      <c r="M59" s="1" t="s">
        <v>770</v>
      </c>
      <c r="N59" s="14" t="str">
        <f t="shared" ca="1" si="6"/>
        <v>MovieClip * sphereSlot3SphereAnima;</v>
      </c>
      <c r="O59" s="14" t="str">
        <f t="shared" ca="1" si="1"/>
        <v>sphereSlot3SphereAnima= sphereSlot3-&gt;createMovieClip("sphereAnima","tower/","TowerMenuSphere_mc","TowerMenuSphere_mc");</v>
      </c>
    </row>
    <row r="60" spans="1:15" x14ac:dyDescent="0.25">
      <c r="A60" s="1" t="s">
        <v>684</v>
      </c>
      <c r="B60" s="37" t="s">
        <v>645</v>
      </c>
      <c r="C60" s="1">
        <f t="shared" ca="1" si="0"/>
        <v>3</v>
      </c>
      <c r="D60" s="1" t="s">
        <v>78</v>
      </c>
      <c r="E60" s="1" t="s">
        <v>126</v>
      </c>
      <c r="F60" s="1" t="s">
        <v>126</v>
      </c>
      <c r="G60" s="1" t="s">
        <v>586</v>
      </c>
      <c r="H60" s="1" t="str">
        <f t="shared" ca="1" si="2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3"/>
        <v>createMovieClipSub</v>
      </c>
      <c r="K60" s="1" t="str">
        <f t="shared" si="4"/>
        <v>fire</v>
      </c>
      <c r="L60" s="1" t="str">
        <f t="shared" si="5"/>
        <v>fire</v>
      </c>
      <c r="M60" s="1" t="s">
        <v>770</v>
      </c>
      <c r="N60" s="14" t="str">
        <f t="shared" ca="1" si="6"/>
        <v>MovieClipSub * sphereSlot3SphereAnimaFire;</v>
      </c>
      <c r="O60" s="14" t="str">
        <f t="shared" ca="1" si="1"/>
        <v>sphereSlot3SphereAnimaFire= sphereSlot3SphereAnima-&gt;createMovieClipSub("fire");</v>
      </c>
    </row>
    <row r="61" spans="1:15" x14ac:dyDescent="0.25">
      <c r="A61" s="1"/>
      <c r="B61" s="37" t="s">
        <v>112</v>
      </c>
      <c r="C61" s="1">
        <f t="shared" ca="1" si="0"/>
        <v>3</v>
      </c>
      <c r="D61" s="1" t="s">
        <v>78</v>
      </c>
      <c r="E61" s="1" t="s">
        <v>126</v>
      </c>
      <c r="F61" s="1" t="s">
        <v>126</v>
      </c>
      <c r="G61" s="1" t="s">
        <v>586</v>
      </c>
      <c r="H61" s="1" t="str">
        <f t="shared" ca="1" si="2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3"/>
        <v>createMovieClipSub</v>
      </c>
      <c r="K61" s="1" t="str">
        <f t="shared" si="4"/>
        <v>ice</v>
      </c>
      <c r="L61" s="1" t="str">
        <f t="shared" si="5"/>
        <v>ice</v>
      </c>
      <c r="M61" s="1" t="s">
        <v>770</v>
      </c>
      <c r="N61" s="14" t="str">
        <f t="shared" ca="1" si="6"/>
        <v>MovieClipSub * sphereSlot3SphereAnimaIce;</v>
      </c>
      <c r="O61" s="14" t="str">
        <f t="shared" ca="1" si="1"/>
        <v>sphereSlot3SphereAnimaIce= sphereSlot3SphereAnima-&gt;createMovieClipSub("ice");</v>
      </c>
    </row>
    <row r="62" spans="1:15" x14ac:dyDescent="0.25">
      <c r="A62" s="1"/>
      <c r="B62" s="37" t="s">
        <v>113</v>
      </c>
      <c r="C62" s="1">
        <f t="shared" ca="1" si="0"/>
        <v>3</v>
      </c>
      <c r="D62" s="1" t="s">
        <v>78</v>
      </c>
      <c r="E62" s="1" t="s">
        <v>126</v>
      </c>
      <c r="F62" s="1" t="s">
        <v>126</v>
      </c>
      <c r="G62" s="1" t="s">
        <v>586</v>
      </c>
      <c r="H62" s="1" t="str">
        <f t="shared" ca="1" si="2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3"/>
        <v>createMovieClipSub</v>
      </c>
      <c r="K62" s="1" t="str">
        <f t="shared" si="4"/>
        <v>stone</v>
      </c>
      <c r="L62" s="1" t="str">
        <f t="shared" si="5"/>
        <v>stone</v>
      </c>
      <c r="M62" s="1" t="s">
        <v>770</v>
      </c>
      <c r="N62" s="14" t="str">
        <f t="shared" ca="1" si="6"/>
        <v>MovieClipSub * sphereSlot3SphereAnimaStone;</v>
      </c>
      <c r="O62" s="14" t="str">
        <f t="shared" ca="1" si="1"/>
        <v>sphereSlot3SphereAnimaStone= sphereSlot3SphereAnima-&gt;createMovieClipSub("stone");</v>
      </c>
    </row>
    <row r="63" spans="1:15" x14ac:dyDescent="0.25">
      <c r="A63" s="1"/>
      <c r="B63" s="37" t="s">
        <v>114</v>
      </c>
      <c r="C63" s="1">
        <f t="shared" ca="1" si="0"/>
        <v>3</v>
      </c>
      <c r="D63" s="1" t="s">
        <v>78</v>
      </c>
      <c r="E63" s="1" t="s">
        <v>126</v>
      </c>
      <c r="F63" s="1" t="s">
        <v>126</v>
      </c>
      <c r="G63" s="1" t="s">
        <v>586</v>
      </c>
      <c r="H63" s="1" t="str">
        <f t="shared" ca="1" si="2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3"/>
        <v>createMovieClipSub</v>
      </c>
      <c r="K63" s="1" t="str">
        <f t="shared" si="4"/>
        <v>levin</v>
      </c>
      <c r="L63" s="1" t="str">
        <f t="shared" si="5"/>
        <v>levin</v>
      </c>
      <c r="M63" s="1" t="s">
        <v>770</v>
      </c>
      <c r="N63" s="14" t="str">
        <f t="shared" ca="1" si="6"/>
        <v>MovieClipSub * sphereSlot3SphereAnimaLevin;</v>
      </c>
      <c r="O63" s="14" t="str">
        <f t="shared" ca="1" si="1"/>
        <v>sphereSlot3SphereAnimaLevin= sphereSlot3SphereAnima-&gt;createMovieClipSub("levin");</v>
      </c>
    </row>
    <row r="64" spans="1:15" x14ac:dyDescent="0.25">
      <c r="A64" s="1"/>
      <c r="B64" s="3" t="s">
        <v>661</v>
      </c>
      <c r="C64" s="1">
        <f t="shared" ca="1" si="0"/>
        <v>1</v>
      </c>
      <c r="D64" s="1" t="s">
        <v>78</v>
      </c>
      <c r="E64" s="1" t="s">
        <v>126</v>
      </c>
      <c r="F64" s="1" t="s">
        <v>126</v>
      </c>
      <c r="G64" s="1" t="s">
        <v>586</v>
      </c>
      <c r="H64" s="1" t="str">
        <f t="shared" ca="1" si="2"/>
        <v>sphereSlot4</v>
      </c>
      <c r="I64" s="1" t="str">
        <f ca="1">IF(C64&lt;2,"this",IF(C64=C63,I63,IF(C64&gt;C63,H63, LOOKUP(1,0/(H$2:H63=I63),I$2:I64))))</f>
        <v>this</v>
      </c>
      <c r="J64" s="1" t="str">
        <f t="shared" si="3"/>
        <v>createMovieClipSub</v>
      </c>
      <c r="K64" s="1" t="str">
        <f t="shared" si="4"/>
        <v>sphereSlot4</v>
      </c>
      <c r="L64" s="1" t="str">
        <f t="shared" si="5"/>
        <v>sphereSlot4</v>
      </c>
      <c r="M64" s="1" t="s">
        <v>770</v>
      </c>
      <c r="N64" s="14" t="str">
        <f t="shared" ca="1" si="6"/>
        <v>MovieClipSub * sphereSlot4;</v>
      </c>
      <c r="O64" s="14" t="str">
        <f t="shared" ca="1" si="1"/>
        <v>sphereSlot4= this-&gt;createMovieClipSub("sphereSlot4");</v>
      </c>
    </row>
    <row r="65" spans="1:15" x14ac:dyDescent="0.25">
      <c r="A65" s="1"/>
      <c r="B65" s="4" t="s">
        <v>665</v>
      </c>
      <c r="C65" s="1">
        <f t="shared" ca="1" si="0"/>
        <v>2</v>
      </c>
      <c r="D65" s="1" t="s">
        <v>78</v>
      </c>
      <c r="E65" s="1" t="s">
        <v>126</v>
      </c>
      <c r="F65" s="1" t="s">
        <v>126</v>
      </c>
      <c r="G65" s="1" t="s">
        <v>669</v>
      </c>
      <c r="H65" s="1" t="str">
        <f t="shared" ref="H65:H66" ca="1" si="56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3"/>
        <v>createCase</v>
      </c>
      <c r="K65" s="1" t="str">
        <f t="shared" si="4"/>
        <v>sphereSlotCase</v>
      </c>
      <c r="L65" s="1" t="str">
        <f t="shared" si="5"/>
        <v>sphereSlotCase</v>
      </c>
      <c r="M65" s="1" t="s">
        <v>770</v>
      </c>
      <c r="N65" s="14" t="str">
        <f t="shared" ca="1" si="6"/>
        <v>MCCase * sphereSlot4SphereSlotCase;</v>
      </c>
      <c r="O65" s="14" t="str">
        <f t="shared" ca="1" si="1"/>
        <v>sphereSlot4SphereSlotCase= sphereSlot4-&gt;createCase("sphereSlotCase");</v>
      </c>
    </row>
    <row r="66" spans="1:15" x14ac:dyDescent="0.25">
      <c r="A66" s="1"/>
      <c r="B66" s="4" t="s">
        <v>110</v>
      </c>
      <c r="C66" s="1">
        <f t="shared" ca="1" si="0"/>
        <v>2</v>
      </c>
      <c r="D66" s="1" t="s">
        <v>78</v>
      </c>
      <c r="E66" s="1" t="s">
        <v>126</v>
      </c>
      <c r="F66" s="1" t="s">
        <v>126</v>
      </c>
      <c r="G66" s="1" t="s">
        <v>766</v>
      </c>
      <c r="H66" s="1" t="str">
        <f t="shared" ca="1" si="56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3"/>
        <v>createMovieClip</v>
      </c>
      <c r="K66" s="1" t="s">
        <v>719</v>
      </c>
      <c r="L66" s="1" t="s">
        <v>719</v>
      </c>
      <c r="M66" s="1" t="s">
        <v>770</v>
      </c>
      <c r="N66" s="14" t="str">
        <f t="shared" ca="1" si="6"/>
        <v>MovieClip * sphereSlot4SphereAnima;</v>
      </c>
      <c r="O66" s="14" t="str">
        <f t="shared" ref="O66:O129" ca="1" si="57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sphereSlot4SphereAnima= sphereSlot4-&gt;createMovieClip("sphereAnima","tower/","TowerMenuSphere_mc","TowerMenuSphere_mc");</v>
      </c>
    </row>
    <row r="67" spans="1:15" x14ac:dyDescent="0.25">
      <c r="A67" s="1" t="s">
        <v>684</v>
      </c>
      <c r="B67" s="37" t="s">
        <v>683</v>
      </c>
      <c r="C67" s="1">
        <f t="shared" ca="1" si="0"/>
        <v>3</v>
      </c>
      <c r="D67" s="1" t="s">
        <v>78</v>
      </c>
      <c r="E67" s="1" t="s">
        <v>126</v>
      </c>
      <c r="F67" s="1" t="s">
        <v>126</v>
      </c>
      <c r="G67" s="1" t="s">
        <v>586</v>
      </c>
      <c r="H67" s="1" t="str">
        <f t="shared" ca="1" si="2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3"/>
        <v>createMovieClipSub</v>
      </c>
      <c r="K67" s="1" t="str">
        <f t="shared" si="4"/>
        <v>fire</v>
      </c>
      <c r="L67" s="1" t="str">
        <f t="shared" si="5"/>
        <v>fire</v>
      </c>
      <c r="M67" s="1" t="s">
        <v>770</v>
      </c>
      <c r="N67" s="14" t="str">
        <f t="shared" ca="1" si="6"/>
        <v>MovieClipSub * sphereSlot4SphereAnimaFire;</v>
      </c>
      <c r="O67" s="14" t="str">
        <f t="shared" ca="1" si="57"/>
        <v>sphereSlot4SphereAnimaFire= sphereSlot4SphereAnima-&gt;createMovieClipSub("fire");</v>
      </c>
    </row>
    <row r="68" spans="1:15" x14ac:dyDescent="0.25">
      <c r="A68" s="1"/>
      <c r="B68" s="37" t="s">
        <v>112</v>
      </c>
      <c r="C68" s="1">
        <f t="shared" ca="1" si="0"/>
        <v>3</v>
      </c>
      <c r="D68" s="1" t="s">
        <v>78</v>
      </c>
      <c r="E68" s="1" t="s">
        <v>126</v>
      </c>
      <c r="F68" s="1" t="s">
        <v>126</v>
      </c>
      <c r="G68" s="1" t="s">
        <v>586</v>
      </c>
      <c r="H68" s="1" t="str">
        <f t="shared" ca="1" si="2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3"/>
        <v>createMovieClipSub</v>
      </c>
      <c r="K68" s="1" t="str">
        <f t="shared" si="4"/>
        <v>ice</v>
      </c>
      <c r="L68" s="1" t="str">
        <f t="shared" si="5"/>
        <v>ice</v>
      </c>
      <c r="M68" s="1" t="s">
        <v>770</v>
      </c>
      <c r="N68" s="14" t="str">
        <f t="shared" ca="1" si="6"/>
        <v>MovieClipSub * sphereSlot4SphereAnimaIce;</v>
      </c>
      <c r="O68" s="14" t="str">
        <f t="shared" ca="1" si="57"/>
        <v>sphereSlot4SphereAnimaIce= sphereSlot4SphereAnima-&gt;createMovieClipSub("ice");</v>
      </c>
    </row>
    <row r="69" spans="1:15" x14ac:dyDescent="0.25">
      <c r="A69" s="1"/>
      <c r="B69" s="37" t="s">
        <v>113</v>
      </c>
      <c r="C69" s="1">
        <f t="shared" ca="1" si="0"/>
        <v>3</v>
      </c>
      <c r="D69" s="1" t="s">
        <v>78</v>
      </c>
      <c r="E69" s="1" t="s">
        <v>126</v>
      </c>
      <c r="F69" s="1" t="s">
        <v>126</v>
      </c>
      <c r="G69" s="1" t="s">
        <v>586</v>
      </c>
      <c r="H69" s="1" t="str">
        <f t="shared" ca="1" si="2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3"/>
        <v>createMovieClipSub</v>
      </c>
      <c r="K69" s="1" t="str">
        <f t="shared" si="4"/>
        <v>stone</v>
      </c>
      <c r="L69" s="1" t="str">
        <f t="shared" si="5"/>
        <v>stone</v>
      </c>
      <c r="M69" s="1" t="s">
        <v>770</v>
      </c>
      <c r="N69" s="14" t="str">
        <f t="shared" ca="1" si="6"/>
        <v>MovieClipSub * sphereSlot4SphereAnimaStone;</v>
      </c>
      <c r="O69" s="14" t="str">
        <f t="shared" ca="1" si="57"/>
        <v>sphereSlot4SphereAnimaStone= sphereSlot4SphereAnima-&gt;createMovieClipSub("stone");</v>
      </c>
    </row>
    <row r="70" spans="1:15" x14ac:dyDescent="0.25">
      <c r="A70" s="1"/>
      <c r="B70" s="37" t="s">
        <v>114</v>
      </c>
      <c r="C70" s="1">
        <f t="shared" ca="1" si="0"/>
        <v>3</v>
      </c>
      <c r="D70" s="1" t="s">
        <v>78</v>
      </c>
      <c r="E70" s="1" t="s">
        <v>126</v>
      </c>
      <c r="F70" s="1" t="s">
        <v>126</v>
      </c>
      <c r="G70" s="1" t="s">
        <v>586</v>
      </c>
      <c r="H70" s="1" t="str">
        <f t="shared" ca="1" si="2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3"/>
        <v>createMovieClipSub</v>
      </c>
      <c r="K70" s="1" t="str">
        <f t="shared" si="4"/>
        <v>levin</v>
      </c>
      <c r="L70" s="1" t="str">
        <f t="shared" si="5"/>
        <v>levin</v>
      </c>
      <c r="M70" s="1" t="s">
        <v>770</v>
      </c>
      <c r="N70" s="14" t="str">
        <f t="shared" ca="1" si="6"/>
        <v>MovieClipSub * sphereSlot4SphereAnimaLevin;</v>
      </c>
      <c r="O70" s="14" t="str">
        <f t="shared" ca="1" si="57"/>
        <v>sphereSlot4SphereAnimaLevin= sphereSlot4SphereAnima-&gt;createMovieClipSub("levin");</v>
      </c>
    </row>
    <row r="71" spans="1:15" x14ac:dyDescent="0.25">
      <c r="A71" s="1" t="s">
        <v>137</v>
      </c>
      <c r="B71" s="21" t="s">
        <v>136</v>
      </c>
      <c r="C71" s="1">
        <f t="shared" ca="1" si="0"/>
        <v>0</v>
      </c>
      <c r="D71" s="1" t="s">
        <v>78</v>
      </c>
      <c r="E71" s="1" t="s">
        <v>691</v>
      </c>
      <c r="F71" s="1" t="s">
        <v>690</v>
      </c>
      <c r="G71" s="21" t="s">
        <v>587</v>
      </c>
      <c r="H71" s="1" t="str">
        <f t="shared" ca="1" si="2"/>
        <v>AnimUpgrade_mc</v>
      </c>
      <c r="I71" s="1" t="str">
        <f ca="1">IF(C71&lt;2,"this",IF(C71=C70,I70,IF(C71&gt;C70,H70, LOOKUP(1,0/(H$2:H70=I70),I$2:I71))))</f>
        <v>this</v>
      </c>
      <c r="J71" s="1" t="str">
        <f t="shared" si="3"/>
        <v>createMovieClip</v>
      </c>
      <c r="K71" s="1" t="str">
        <f t="shared" si="4"/>
        <v>AnimUpgrade_mc</v>
      </c>
      <c r="L71" s="1" t="str">
        <f t="shared" si="5"/>
        <v>AnimUpgrade_mc</v>
      </c>
      <c r="M71" s="1" t="s">
        <v>770</v>
      </c>
      <c r="N71" s="14" t="str">
        <f t="shared" ca="1" si="6"/>
        <v/>
      </c>
      <c r="O71" s="14" t="str">
        <f t="shared" ca="1" si="57"/>
        <v>AnimUpgrade_mc::AnimUpgrade_mc:MovieClip("tower/","AnimUpgrade_mc","AnimUpgrade_mc"{)</v>
      </c>
    </row>
    <row r="72" spans="1:15" x14ac:dyDescent="0.25">
      <c r="A72" s="1" t="s">
        <v>135</v>
      </c>
      <c r="B72" s="21" t="s">
        <v>115</v>
      </c>
      <c r="C72" s="1">
        <f t="shared" ca="1" si="0"/>
        <v>0</v>
      </c>
      <c r="D72" s="1" t="s">
        <v>78</v>
      </c>
      <c r="E72" s="1" t="s">
        <v>688</v>
      </c>
      <c r="F72" s="1" t="s">
        <v>688</v>
      </c>
      <c r="G72" s="21" t="s">
        <v>687</v>
      </c>
      <c r="H72" s="1" t="str">
        <f t="shared" ca="1" si="2"/>
        <v>TowerRadius_mc</v>
      </c>
      <c r="I72" s="1" t="str">
        <f ca="1">IF(C72&lt;2,"this",IF(C72=C71,I71,IF(C72&gt;C71,H71, LOOKUP(1,0/(H$2:H71=I71),I$2:I72))))</f>
        <v>this</v>
      </c>
      <c r="J72" s="1" t="str">
        <f t="shared" si="3"/>
        <v>createSprite</v>
      </c>
      <c r="K72" s="1" t="str">
        <f t="shared" si="4"/>
        <v>TowerRadius_mc</v>
      </c>
      <c r="L72" s="1" t="str">
        <f t="shared" si="5"/>
        <v>TowerRadius_mc</v>
      </c>
      <c r="M72" s="52" t="s">
        <v>689</v>
      </c>
      <c r="N72" s="14" t="str">
        <f t="shared" ca="1" si="6"/>
        <v/>
      </c>
      <c r="O72" s="14" t="str">
        <f t="shared" ca="1" si="57"/>
        <v>TowerRadius_mc::TowerRadius_mc:Sprite("tower/","TowerRadius_mc","TowerRadius_mc"{)</v>
      </c>
    </row>
    <row r="73" spans="1:15" x14ac:dyDescent="0.25">
      <c r="A73" s="1" t="s">
        <v>138</v>
      </c>
      <c r="B73" s="21" t="s">
        <v>697</v>
      </c>
      <c r="C73" s="1">
        <f t="shared" ca="1" si="0"/>
        <v>0</v>
      </c>
      <c r="D73" s="1" t="s">
        <v>78</v>
      </c>
      <c r="E73" s="1" t="s">
        <v>126</v>
      </c>
      <c r="F73" s="1" t="s">
        <v>126</v>
      </c>
      <c r="G73" s="21" t="s">
        <v>587</v>
      </c>
      <c r="H73" s="1" t="str">
        <f t="shared" ca="1" si="2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3"/>
        <v>createMovieClip</v>
      </c>
      <c r="K73" s="1" t="str">
        <f t="shared" si="4"/>
        <v>UltraTowerMenu_mc</v>
      </c>
      <c r="L73" s="1" t="str">
        <f t="shared" si="5"/>
        <v>UltraTowerMenu_mc</v>
      </c>
      <c r="M73" s="1"/>
      <c r="N73" s="14" t="str">
        <f t="shared" ca="1" si="6"/>
        <v/>
      </c>
      <c r="O73" s="14" t="str">
        <f t="shared" ca="1" si="57"/>
        <v>UltraTowerMenu_mc::UltraTowerMenu_mc:MovieClip("tower/","UltraTowerMenu_mc","UltraTowerMenu_mc"{)</v>
      </c>
    </row>
    <row r="74" spans="1:15" x14ac:dyDescent="0.25">
      <c r="A74" s="1"/>
      <c r="B74" s="3" t="s">
        <v>139</v>
      </c>
      <c r="C74" s="1">
        <f t="shared" ca="1" si="0"/>
        <v>1</v>
      </c>
      <c r="D74" s="1" t="s">
        <v>78</v>
      </c>
      <c r="E74" s="1" t="s">
        <v>126</v>
      </c>
      <c r="F74" s="1" t="s">
        <v>126</v>
      </c>
      <c r="G74" s="1" t="s">
        <v>586</v>
      </c>
      <c r="H74" s="1" t="str">
        <f t="shared" ca="1" si="2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58">CONCATENATE("create",IF(LEFT(G74,2)="MC",MID(G74,3,LEN(G74)),G74))</f>
        <v>createMovieClipSub</v>
      </c>
      <c r="K74" s="1" t="str">
        <f t="shared" si="4"/>
        <v>btnUpgradeMenu</v>
      </c>
      <c r="L74" s="1" t="str">
        <f t="shared" si="5"/>
        <v>btnUpgradeMenu</v>
      </c>
      <c r="M74" s="1"/>
      <c r="N74" s="14" t="str">
        <f t="shared" ref="N74:N139" ca="1" si="59">IF(C74&gt;0,G74 &amp; " * "&amp;H74 &amp;";","")</f>
        <v>MovieClipSub * btnUpgradeMenu;</v>
      </c>
      <c r="O74" s="14" t="str">
        <f t="shared" ca="1" si="57"/>
        <v>btnUpgradeMenu= this-&gt;createMovieClipSub("btnUpgradeMenu");</v>
      </c>
    </row>
    <row r="75" spans="1:15" x14ac:dyDescent="0.25">
      <c r="A75" s="1"/>
      <c r="B75" s="4" t="s">
        <v>145</v>
      </c>
      <c r="C75" s="1">
        <f t="shared" ca="1" si="0"/>
        <v>2</v>
      </c>
      <c r="D75" s="1" t="s">
        <v>78</v>
      </c>
      <c r="E75" s="1" t="s">
        <v>126</v>
      </c>
      <c r="F75" s="1" t="s">
        <v>126</v>
      </c>
      <c r="G75" s="1" t="s">
        <v>669</v>
      </c>
      <c r="H75" s="1" t="str">
        <f t="shared" ca="1" si="2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58"/>
        <v>createCase</v>
      </c>
      <c r="K75" s="1" t="str">
        <f t="shared" si="4"/>
        <v>btnUpgradeMenuCase</v>
      </c>
      <c r="L75" s="1" t="str">
        <f t="shared" si="5"/>
        <v>btnUpgradeMenuCase</v>
      </c>
      <c r="M75" s="1"/>
      <c r="N75" s="14" t="str">
        <f t="shared" ca="1" si="59"/>
        <v>MCCase * btnUpgradeMenuBtnUpgradeMenuCase;</v>
      </c>
      <c r="O75" s="14" t="str">
        <f t="shared" ca="1" si="57"/>
        <v>btnUpgradeMenuBtnUpgradeMenuCase= btnUpgradeMenu-&gt;createCase("btnUpgradeMenuCase");</v>
      </c>
    </row>
    <row r="76" spans="1:15" x14ac:dyDescent="0.25">
      <c r="A76" s="1"/>
      <c r="B76" s="4" t="s">
        <v>146</v>
      </c>
      <c r="C76" s="1">
        <f t="shared" ca="1" si="0"/>
        <v>2</v>
      </c>
      <c r="D76" s="1" t="s">
        <v>78</v>
      </c>
      <c r="E76" s="1" t="s">
        <v>126</v>
      </c>
      <c r="F76" s="1" t="s">
        <v>126</v>
      </c>
      <c r="G76" s="1" t="s">
        <v>671</v>
      </c>
      <c r="H76" s="1" t="str">
        <f t="shared" ca="1" si="2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58"/>
        <v>createText</v>
      </c>
      <c r="K76" s="1" t="str">
        <f t="shared" si="4"/>
        <v>costTXT</v>
      </c>
      <c r="L76" s="1" t="str">
        <f t="shared" si="5"/>
        <v>costTXT</v>
      </c>
      <c r="M76" s="1"/>
      <c r="N76" s="14" t="str">
        <f t="shared" ca="1" si="59"/>
        <v>MCText * btnUpgradeMenuCostTXT;</v>
      </c>
      <c r="O76" s="14" t="str">
        <f t="shared" ca="1" si="57"/>
        <v>btnUpgradeMenuCostTXT= btnUpgradeMenu-&gt;createText("costTXT");</v>
      </c>
    </row>
    <row r="77" spans="1:15" x14ac:dyDescent="0.25">
      <c r="A77" s="1"/>
      <c r="B77" s="3" t="s">
        <v>107</v>
      </c>
      <c r="C77" s="1">
        <f t="shared" ca="1" si="0"/>
        <v>1</v>
      </c>
      <c r="D77" s="1" t="s">
        <v>78</v>
      </c>
      <c r="E77" s="1" t="s">
        <v>126</v>
      </c>
      <c r="F77" s="1" t="s">
        <v>126</v>
      </c>
      <c r="G77" s="1" t="s">
        <v>586</v>
      </c>
      <c r="H77" s="1" t="str">
        <f t="shared" ca="1" si="2"/>
        <v>cont1</v>
      </c>
      <c r="I77" s="1" t="str">
        <f ca="1">IF(C77&lt;2,"this",IF(C77=C76,I76,IF(C77&gt;C76,H76, LOOKUP(1,0/(H$2:H76=I76),I$2:I77))))</f>
        <v>this</v>
      </c>
      <c r="J77" s="1" t="str">
        <f t="shared" si="58"/>
        <v>createMovieClipSub</v>
      </c>
      <c r="K77" s="1" t="str">
        <f t="shared" si="4"/>
        <v>cont1</v>
      </c>
      <c r="L77" s="1" t="str">
        <f t="shared" si="5"/>
        <v>cont1</v>
      </c>
      <c r="M77" s="1"/>
      <c r="N77" s="14" t="str">
        <f t="shared" ca="1" si="59"/>
        <v>MovieClipSub * cont1;</v>
      </c>
      <c r="O77" s="14" t="str">
        <f t="shared" ca="1" si="57"/>
        <v>cont1= this-&gt;createMovieClipSub("cont1");</v>
      </c>
    </row>
    <row r="78" spans="1:15" x14ac:dyDescent="0.25">
      <c r="A78" s="1"/>
      <c r="B78" s="3" t="s">
        <v>140</v>
      </c>
      <c r="C78" s="1">
        <f t="shared" ca="1" si="0"/>
        <v>1</v>
      </c>
      <c r="D78" s="1" t="s">
        <v>78</v>
      </c>
      <c r="E78" s="1" t="s">
        <v>126</v>
      </c>
      <c r="F78" s="1" t="s">
        <v>126</v>
      </c>
      <c r="G78" s="1" t="s">
        <v>586</v>
      </c>
      <c r="H78" s="1" t="str">
        <f t="shared" ca="1" si="2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58"/>
        <v>createMovieClipSub</v>
      </c>
      <c r="K78" s="1" t="str">
        <f t="shared" si="4"/>
        <v>fastBuyUltraCont</v>
      </c>
      <c r="L78" s="1" t="str">
        <f t="shared" si="5"/>
        <v>fastBuyUltraCont</v>
      </c>
      <c r="M78" s="1"/>
      <c r="N78" s="14" t="str">
        <f t="shared" ca="1" si="59"/>
        <v>MovieClipSub * fastBuyUltraCont;</v>
      </c>
      <c r="O78" s="14" t="str">
        <f t="shared" ca="1" si="57"/>
        <v>fastBuyUltraCont= this-&gt;createMovieClipSub("fastBuyUltraCont");</v>
      </c>
    </row>
    <row r="79" spans="1:15" x14ac:dyDescent="0.25">
      <c r="A79" s="1"/>
      <c r="B79" s="4" t="s">
        <v>116</v>
      </c>
      <c r="C79" s="1">
        <f t="shared" ca="1" si="0"/>
        <v>2</v>
      </c>
      <c r="D79" s="1" t="s">
        <v>78</v>
      </c>
      <c r="E79" s="1" t="s">
        <v>126</v>
      </c>
      <c r="F79" s="1" t="s">
        <v>126</v>
      </c>
      <c r="G79" s="1" t="s">
        <v>586</v>
      </c>
      <c r="H79" s="1" t="str">
        <f t="shared" ca="1" si="2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58"/>
        <v>createMovieClipSub</v>
      </c>
      <c r="K79" s="1" t="str">
        <f t="shared" si="4"/>
        <v>btnFastBuyUltra</v>
      </c>
      <c r="L79" s="1" t="str">
        <f t="shared" si="5"/>
        <v>btnFastBuyUltra</v>
      </c>
      <c r="M79" s="1"/>
      <c r="N79" s="14" t="str">
        <f t="shared" ca="1" si="59"/>
        <v>MovieClipSub * fastBuyUltraContBtnFastBuyUltra;</v>
      </c>
      <c r="O79" s="14" t="str">
        <f t="shared" ca="1" si="57"/>
        <v>fastBuyUltraContBtnFastBuyUltra= fastBuyUltraCont-&gt;createMovieClipSub("btnFastBuyUltra");</v>
      </c>
    </row>
    <row r="80" spans="1:15" x14ac:dyDescent="0.25">
      <c r="A80" s="49"/>
      <c r="B80" s="5" t="s">
        <v>103</v>
      </c>
      <c r="C80" s="1">
        <f ca="1">indent(B80)</f>
        <v>3</v>
      </c>
      <c r="D80" s="1" t="s">
        <v>78</v>
      </c>
      <c r="E80" s="1" t="s">
        <v>126</v>
      </c>
      <c r="F80" s="1" t="s">
        <v>126</v>
      </c>
      <c r="G80" s="1" t="s">
        <v>671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4" t="str">
        <f ca="1">IF(C80&gt;0,G80 &amp; " * "&amp;H80 &amp;";","")</f>
        <v>MCText * fastBuyUltraContBtnFastBuyUltraCostTXT;</v>
      </c>
      <c r="O80" s="14" t="str">
        <f t="shared" ca="1" si="57"/>
        <v>fastBuyUltraContBtnFastBuyUltraCostTXT= fastBuyUltraContBtnFastBuyUltra-&gt;createText("costTXT");</v>
      </c>
    </row>
    <row r="81" spans="1:15" x14ac:dyDescent="0.25">
      <c r="A81" s="1"/>
      <c r="B81" s="5" t="s">
        <v>117</v>
      </c>
      <c r="C81" s="1">
        <f t="shared" ca="1" si="0"/>
        <v>3</v>
      </c>
      <c r="D81" s="1" t="s">
        <v>78</v>
      </c>
      <c r="E81" s="1" t="s">
        <v>126</v>
      </c>
      <c r="F81" s="1" t="s">
        <v>126</v>
      </c>
      <c r="G81" s="1" t="s">
        <v>669</v>
      </c>
      <c r="H81" s="1" t="str">
        <f t="shared" ca="1" si="2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58"/>
        <v>createCase</v>
      </c>
      <c r="K81" s="1" t="str">
        <f t="shared" si="4"/>
        <v>fastBuyUltraCase</v>
      </c>
      <c r="L81" s="1" t="str">
        <f t="shared" si="5"/>
        <v>fastBuyUltraCase</v>
      </c>
      <c r="M81" s="1"/>
      <c r="N81" s="14" t="str">
        <f t="shared" ca="1" si="59"/>
        <v>MCCase * fastBuyUltraContBtnFastBuyUltraFastBuyUltraCase;</v>
      </c>
      <c r="O81" s="14" t="str">
        <f t="shared" ca="1" si="57"/>
        <v>fastBuyUltraContBtnFastBuyUltraFastBuyUltraCase= fastBuyUltraContBtnFastBuyUltra-&gt;createCase("fastBuyUltraCase");</v>
      </c>
    </row>
    <row r="82" spans="1:15" x14ac:dyDescent="0.25">
      <c r="A82" s="1"/>
      <c r="B82" s="4" t="s">
        <v>147</v>
      </c>
      <c r="C82" s="1">
        <f t="shared" ca="1" si="0"/>
        <v>2</v>
      </c>
      <c r="D82" s="1" t="s">
        <v>78</v>
      </c>
      <c r="E82" s="1" t="s">
        <v>126</v>
      </c>
      <c r="F82" s="1" t="s">
        <v>126</v>
      </c>
      <c r="G82" s="1" t="s">
        <v>586</v>
      </c>
      <c r="H82" s="1" t="str">
        <f t="shared" ca="1" si="2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58"/>
        <v>createMovieClipSub</v>
      </c>
      <c r="K82" s="1" t="str">
        <f t="shared" si="4"/>
        <v>indicator1</v>
      </c>
      <c r="L82" s="1" t="str">
        <f t="shared" si="5"/>
        <v>indicator1</v>
      </c>
      <c r="M82" s="1"/>
      <c r="N82" s="14" t="str">
        <f t="shared" ca="1" si="59"/>
        <v>MovieClipSub * fastBuyUltraContIndicator1;</v>
      </c>
      <c r="O82" s="14" t="str">
        <f t="shared" ca="1" si="57"/>
        <v>fastBuyUltraContIndicator1= fastBuyUltraCont-&gt;createMovieClipSub("indicator1");</v>
      </c>
    </row>
    <row r="83" spans="1:15" x14ac:dyDescent="0.25">
      <c r="A83" s="1"/>
      <c r="B83" s="4" t="s">
        <v>148</v>
      </c>
      <c r="C83" s="1">
        <f t="shared" ca="1" si="0"/>
        <v>2</v>
      </c>
      <c r="D83" s="1" t="s">
        <v>78</v>
      </c>
      <c r="E83" s="1" t="s">
        <v>126</v>
      </c>
      <c r="F83" s="1" t="s">
        <v>126</v>
      </c>
      <c r="G83" s="1" t="s">
        <v>586</v>
      </c>
      <c r="H83" s="1" t="str">
        <f t="shared" ca="1" si="2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58"/>
        <v>createMovieClipSub</v>
      </c>
      <c r="K83" s="1" t="str">
        <f t="shared" si="4"/>
        <v>indicator2</v>
      </c>
      <c r="L83" s="1" t="str">
        <f t="shared" si="5"/>
        <v>indicator2</v>
      </c>
      <c r="M83" s="1"/>
      <c r="N83" s="14" t="str">
        <f ca="1">IF(C83&gt;0,G83 &amp; " * "&amp;H83 &amp;";","")</f>
        <v>MovieClipSub * fastBuyUltraContIndicator2;</v>
      </c>
      <c r="O83" s="14" t="str">
        <f t="shared" ca="1" si="57"/>
        <v>fastBuyUltraContIndicator2= fastBuyUltraCont-&gt;createMovieClipSub("indicator2");</v>
      </c>
    </row>
    <row r="84" spans="1:15" x14ac:dyDescent="0.25">
      <c r="A84" s="1"/>
      <c r="B84" s="4" t="s">
        <v>149</v>
      </c>
      <c r="C84" s="1">
        <f t="shared" ca="1" si="0"/>
        <v>2</v>
      </c>
      <c r="D84" s="1" t="s">
        <v>78</v>
      </c>
      <c r="E84" s="1" t="s">
        <v>126</v>
      </c>
      <c r="F84" s="1" t="s">
        <v>126</v>
      </c>
      <c r="G84" s="1" t="s">
        <v>586</v>
      </c>
      <c r="H84" s="1" t="str">
        <f t="shared" ca="1" si="2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58"/>
        <v>createMovieClipSub</v>
      </c>
      <c r="K84" s="1" t="str">
        <f t="shared" si="4"/>
        <v>indicator3</v>
      </c>
      <c r="L84" s="1" t="str">
        <f t="shared" si="5"/>
        <v>indicator3</v>
      </c>
      <c r="M84" s="1"/>
      <c r="N84" s="14" t="str">
        <f t="shared" ca="1" si="59"/>
        <v>MovieClipSub * fastBuyUltraContIndicator3;</v>
      </c>
      <c r="O84" s="14" t="str">
        <f t="shared" ca="1" si="57"/>
        <v>fastBuyUltraContIndicator3= fastBuyUltraCont-&gt;createMovieClipSub("indicator3");</v>
      </c>
    </row>
    <row r="85" spans="1:15" x14ac:dyDescent="0.25">
      <c r="A85" s="1"/>
      <c r="B85" s="4" t="s">
        <v>150</v>
      </c>
      <c r="C85" s="1">
        <f t="shared" ca="1" si="0"/>
        <v>2</v>
      </c>
      <c r="D85" s="1" t="s">
        <v>78</v>
      </c>
      <c r="E85" s="1" t="s">
        <v>126</v>
      </c>
      <c r="F85" s="1" t="s">
        <v>126</v>
      </c>
      <c r="G85" s="1" t="s">
        <v>586</v>
      </c>
      <c r="H85" s="1" t="str">
        <f t="shared" ca="1" si="2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58"/>
        <v>createMovieClipSub</v>
      </c>
      <c r="K85" s="1" t="str">
        <f t="shared" si="4"/>
        <v>indicator4</v>
      </c>
      <c r="L85" s="1" t="str">
        <f t="shared" si="5"/>
        <v>indicator4</v>
      </c>
      <c r="M85" s="1"/>
      <c r="N85" s="14" t="str">
        <f t="shared" ca="1" si="59"/>
        <v>MovieClipSub * fastBuyUltraContIndicator4;</v>
      </c>
      <c r="O85" s="14" t="str">
        <f t="shared" ca="1" si="57"/>
        <v>fastBuyUltraContIndicator4= fastBuyUltraCont-&gt;createMovieClipSub("indicator4");</v>
      </c>
    </row>
    <row r="86" spans="1:15" x14ac:dyDescent="0.25">
      <c r="A86" s="1"/>
      <c r="B86" s="3" t="s">
        <v>141</v>
      </c>
      <c r="C86" s="1">
        <f t="shared" ref="C86:C151" ca="1" si="60">indent(B86)</f>
        <v>1</v>
      </c>
      <c r="D86" s="1" t="s">
        <v>78</v>
      </c>
      <c r="E86" s="1" t="s">
        <v>126</v>
      </c>
      <c r="F86" s="1" t="s">
        <v>126</v>
      </c>
      <c r="G86" s="1" t="s">
        <v>586</v>
      </c>
      <c r="H86" s="1" t="str">
        <f t="shared" ca="1" si="2"/>
        <v>sellUltraTower</v>
      </c>
      <c r="I86" s="1" t="str">
        <f ca="1">IF(C86&lt;2,"this",IF(C86=C80,I80,IF(C86&gt;C80,H80, LOOKUP(1,0/(H$2:H85=I80),I$2:I86))))</f>
        <v>this</v>
      </c>
      <c r="J86" s="1" t="str">
        <f t="shared" si="58"/>
        <v>createMovieClipSub</v>
      </c>
      <c r="K86" s="1" t="str">
        <f t="shared" si="4"/>
        <v>sellUltraTower</v>
      </c>
      <c r="L86" s="1" t="str">
        <f t="shared" si="5"/>
        <v>sellUltraTower</v>
      </c>
      <c r="M86" s="1"/>
      <c r="N86" s="14" t="str">
        <f t="shared" ca="1" si="59"/>
        <v>MovieClipSub * sellUltraTower;</v>
      </c>
      <c r="O86" s="14" t="str">
        <f t="shared" ca="1" si="57"/>
        <v>sellUltraTower= this-&gt;createMovieClipSub("sellUltraTower");</v>
      </c>
    </row>
    <row r="87" spans="1:15" x14ac:dyDescent="0.25">
      <c r="A87" s="1"/>
      <c r="B87" s="4" t="s">
        <v>151</v>
      </c>
      <c r="C87" s="1">
        <f t="shared" ca="1" si="60"/>
        <v>2</v>
      </c>
      <c r="D87" s="1" t="s">
        <v>78</v>
      </c>
      <c r="E87" s="38" t="s">
        <v>126</v>
      </c>
      <c r="F87" s="1" t="s">
        <v>126</v>
      </c>
      <c r="G87" s="1" t="s">
        <v>669</v>
      </c>
      <c r="H87" s="1" t="str">
        <f t="shared" ref="H87:H152" ca="1" si="61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58"/>
        <v>createCase</v>
      </c>
      <c r="K87" s="1" t="str">
        <f t="shared" ref="K87:K152" si="62">B87</f>
        <v>sellUltraTowerCase</v>
      </c>
      <c r="L87" s="1" t="str">
        <f t="shared" ref="L87:L152" si="63">B87</f>
        <v>sellUltraTowerCase</v>
      </c>
      <c r="M87" s="1"/>
      <c r="N87" s="14" t="str">
        <f t="shared" ca="1" si="59"/>
        <v>MCCase * sellUltraTowerSellUltraTowerCase;</v>
      </c>
      <c r="O87" s="14" t="str">
        <f t="shared" ca="1" si="57"/>
        <v>sellUltraTowerSellUltraTowerCase= sellUltraTower-&gt;createCase("sellUltraTowerCase");</v>
      </c>
    </row>
    <row r="88" spans="1:15" x14ac:dyDescent="0.25">
      <c r="A88" s="1"/>
      <c r="B88" s="3" t="s">
        <v>142</v>
      </c>
      <c r="C88" s="1">
        <f t="shared" ca="1" si="60"/>
        <v>1</v>
      </c>
      <c r="D88" s="1" t="s">
        <v>78</v>
      </c>
      <c r="E88" s="38" t="s">
        <v>126</v>
      </c>
      <c r="F88" s="1" t="s">
        <v>126</v>
      </c>
      <c r="G88" s="1" t="s">
        <v>586</v>
      </c>
      <c r="H88" s="1" t="str">
        <f t="shared" ca="1" si="61"/>
        <v>sphereSlot1</v>
      </c>
      <c r="I88" s="1" t="str">
        <f ca="1">IF(C88&lt;2,"this",IF(C88=C87,I87,IF(C88&gt;C87,H87, LOOKUP(1,0/(H$2:H87=I87),I$2:I88))))</f>
        <v>this</v>
      </c>
      <c r="J88" s="1" t="str">
        <f t="shared" si="58"/>
        <v>createMovieClipSub</v>
      </c>
      <c r="K88" s="1" t="str">
        <f t="shared" si="62"/>
        <v>sphereSlot1</v>
      </c>
      <c r="L88" s="1" t="str">
        <f t="shared" si="63"/>
        <v>sphereSlot1</v>
      </c>
      <c r="M88" s="1"/>
      <c r="N88" s="14" t="str">
        <f t="shared" ca="1" si="59"/>
        <v>MovieClipSub * sphereSlot1;</v>
      </c>
      <c r="O88" s="14" t="str">
        <f t="shared" ca="1" si="57"/>
        <v>sphereSlot1= this-&gt;createMovieClipSub("sphereSlot1");</v>
      </c>
    </row>
    <row r="89" spans="1:15" x14ac:dyDescent="0.25">
      <c r="A89" s="1"/>
      <c r="B89" s="4" t="s">
        <v>665</v>
      </c>
      <c r="C89" s="1">
        <f t="shared" ca="1" si="60"/>
        <v>2</v>
      </c>
      <c r="D89" s="1" t="s">
        <v>78</v>
      </c>
      <c r="E89" s="1" t="s">
        <v>126</v>
      </c>
      <c r="F89" s="1" t="s">
        <v>126</v>
      </c>
      <c r="G89" s="1" t="s">
        <v>669</v>
      </c>
      <c r="H89" s="1" t="str">
        <f t="shared" ca="1" si="61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58"/>
        <v>createCase</v>
      </c>
      <c r="K89" s="1" t="str">
        <f t="shared" si="62"/>
        <v>sphereSlotCase</v>
      </c>
      <c r="L89" s="1" t="str">
        <f t="shared" si="63"/>
        <v>sphereSlotCase</v>
      </c>
      <c r="M89" s="1"/>
      <c r="N89" s="14" t="str">
        <f t="shared" ca="1" si="59"/>
        <v>MCCase * sphereSlot1SphereSlotCase;</v>
      </c>
      <c r="O89" s="14" t="str">
        <f t="shared" ca="1" si="57"/>
        <v>sphereSlot1SphereSlotCase= sphereSlot1-&gt;createCase("sphereSlotCase");</v>
      </c>
    </row>
    <row r="90" spans="1:15" x14ac:dyDescent="0.25">
      <c r="A90" s="1"/>
      <c r="B90" s="4" t="s">
        <v>144</v>
      </c>
      <c r="C90" s="1">
        <f t="shared" ca="1" si="60"/>
        <v>2</v>
      </c>
      <c r="D90" s="1" t="s">
        <v>78</v>
      </c>
      <c r="E90" s="38" t="s">
        <v>126</v>
      </c>
      <c r="F90" s="1" t="s">
        <v>126</v>
      </c>
      <c r="G90" s="1" t="s">
        <v>766</v>
      </c>
      <c r="H90" s="1" t="str">
        <f t="shared" ca="1" si="61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58"/>
        <v>createMovieClip</v>
      </c>
      <c r="K90" s="1" t="s">
        <v>719</v>
      </c>
      <c r="L90" s="1" t="s">
        <v>719</v>
      </c>
      <c r="M90" s="1"/>
      <c r="N90" s="14" t="str">
        <f t="shared" ca="1" si="59"/>
        <v>MovieClip * sphereSlot1SphereAnima;</v>
      </c>
      <c r="O90" s="14" t="str">
        <f t="shared" ca="1" si="57"/>
        <v>sphereSlot1SphereAnima= sphereSlot1-&gt;createMovieClip("sphereAnima","tower/","TowerMenuSphere_mc","TowerMenuSphere_mc");</v>
      </c>
    </row>
    <row r="91" spans="1:15" x14ac:dyDescent="0.25">
      <c r="A91" s="61" t="s">
        <v>715</v>
      </c>
      <c r="B91" s="5" t="s">
        <v>111</v>
      </c>
      <c r="C91" s="1">
        <f t="shared" ca="1" si="60"/>
        <v>3</v>
      </c>
      <c r="D91" s="1" t="s">
        <v>78</v>
      </c>
      <c r="E91" s="38" t="s">
        <v>126</v>
      </c>
      <c r="F91" s="1" t="s">
        <v>126</v>
      </c>
      <c r="G91" s="1" t="s">
        <v>586</v>
      </c>
      <c r="H91" s="1" t="str">
        <f t="shared" ca="1" si="61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58"/>
        <v>createMovieClipSub</v>
      </c>
      <c r="K91" s="1" t="str">
        <f t="shared" si="62"/>
        <v>fire</v>
      </c>
      <c r="L91" s="1" t="str">
        <f t="shared" si="63"/>
        <v>fire</v>
      </c>
      <c r="M91" s="1"/>
      <c r="N91" s="14" t="str">
        <f t="shared" ca="1" si="59"/>
        <v>MovieClipSub * sphereSlot1SphereAnimaFire;</v>
      </c>
      <c r="O91" s="14" t="str">
        <f t="shared" ca="1" si="57"/>
        <v>sphereSlot1SphereAnimaFire= sphereSlot1SphereAnima-&gt;createMovieClipSub("fire");</v>
      </c>
    </row>
    <row r="92" spans="1:15" x14ac:dyDescent="0.25">
      <c r="A92" s="62"/>
      <c r="B92" s="5" t="s">
        <v>112</v>
      </c>
      <c r="C92" s="1">
        <f t="shared" ca="1" si="60"/>
        <v>3</v>
      </c>
      <c r="D92" s="1" t="s">
        <v>78</v>
      </c>
      <c r="E92" s="38" t="s">
        <v>126</v>
      </c>
      <c r="F92" s="1" t="s">
        <v>126</v>
      </c>
      <c r="G92" s="1" t="s">
        <v>586</v>
      </c>
      <c r="H92" s="1" t="str">
        <f t="shared" ca="1" si="61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58"/>
        <v>createMovieClipSub</v>
      </c>
      <c r="K92" s="1" t="str">
        <f t="shared" si="62"/>
        <v>ice</v>
      </c>
      <c r="L92" s="1" t="str">
        <f t="shared" si="63"/>
        <v>ice</v>
      </c>
      <c r="M92" s="1"/>
      <c r="N92" s="14" t="str">
        <f t="shared" ca="1" si="59"/>
        <v>MovieClipSub * sphereSlot1SphereAnimaIce;</v>
      </c>
      <c r="O92" s="14" t="str">
        <f t="shared" ca="1" si="57"/>
        <v>sphereSlot1SphereAnimaIce= sphereSlot1SphereAnima-&gt;createMovieClipSub("ice");</v>
      </c>
    </row>
    <row r="93" spans="1:15" x14ac:dyDescent="0.25">
      <c r="A93" s="62"/>
      <c r="B93" s="5" t="s">
        <v>113</v>
      </c>
      <c r="C93" s="1">
        <f t="shared" ca="1" si="60"/>
        <v>3</v>
      </c>
      <c r="D93" s="1" t="s">
        <v>78</v>
      </c>
      <c r="E93" s="38" t="s">
        <v>126</v>
      </c>
      <c r="F93" s="1" t="s">
        <v>126</v>
      </c>
      <c r="G93" s="1" t="s">
        <v>586</v>
      </c>
      <c r="H93" s="1" t="str">
        <f t="shared" ca="1" si="61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58"/>
        <v>createMovieClipSub</v>
      </c>
      <c r="K93" s="1" t="str">
        <f t="shared" si="62"/>
        <v>stone</v>
      </c>
      <c r="L93" s="1" t="str">
        <f t="shared" si="63"/>
        <v>stone</v>
      </c>
      <c r="M93" s="1"/>
      <c r="N93" s="14" t="str">
        <f t="shared" ca="1" si="59"/>
        <v>MovieClipSub * sphereSlot1SphereAnimaStone;</v>
      </c>
      <c r="O93" s="14" t="str">
        <f t="shared" ca="1" si="57"/>
        <v>sphereSlot1SphereAnimaStone= sphereSlot1SphereAnima-&gt;createMovieClipSub("stone");</v>
      </c>
    </row>
    <row r="94" spans="1:15" x14ac:dyDescent="0.25">
      <c r="A94" s="63"/>
      <c r="B94" s="5" t="s">
        <v>114</v>
      </c>
      <c r="C94" s="1">
        <f t="shared" ca="1" si="60"/>
        <v>3</v>
      </c>
      <c r="D94" s="1" t="s">
        <v>78</v>
      </c>
      <c r="E94" s="38" t="s">
        <v>126</v>
      </c>
      <c r="F94" s="1" t="s">
        <v>126</v>
      </c>
      <c r="G94" s="1" t="s">
        <v>586</v>
      </c>
      <c r="H94" s="1" t="str">
        <f t="shared" ca="1" si="61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58"/>
        <v>createMovieClipSub</v>
      </c>
      <c r="K94" s="1" t="str">
        <f t="shared" si="62"/>
        <v>levin</v>
      </c>
      <c r="L94" s="1" t="str">
        <f t="shared" si="63"/>
        <v>levin</v>
      </c>
      <c r="M94" s="1"/>
      <c r="N94" s="14" t="str">
        <f t="shared" ca="1" si="59"/>
        <v>MovieClipSub * sphereSlot1SphereAnimaLevin;</v>
      </c>
      <c r="O94" s="14" t="str">
        <f t="shared" ca="1" si="57"/>
        <v>sphereSlot1SphereAnimaLevin= sphereSlot1SphereAnima-&gt;createMovieClipSub("levin");</v>
      </c>
    </row>
    <row r="95" spans="1:15" x14ac:dyDescent="0.25">
      <c r="A95" s="1"/>
      <c r="B95" s="3" t="s">
        <v>143</v>
      </c>
      <c r="C95" s="1">
        <f t="shared" ca="1" si="60"/>
        <v>1</v>
      </c>
      <c r="D95" s="1" t="s">
        <v>78</v>
      </c>
      <c r="E95" s="38" t="s">
        <v>126</v>
      </c>
      <c r="F95" s="1" t="s">
        <v>126</v>
      </c>
      <c r="G95" s="1" t="s">
        <v>586</v>
      </c>
      <c r="H95" s="1" t="str">
        <f t="shared" ca="1" si="61"/>
        <v>sphereSlot2</v>
      </c>
      <c r="I95" s="1" t="str">
        <f ca="1">IF(C95&lt;2,"this",IF(C95=C94,I94,IF(C95&gt;C94,H94, LOOKUP(1,0/(H$2:H94=I94),I$2:I95))))</f>
        <v>this</v>
      </c>
      <c r="J95" s="1" t="str">
        <f t="shared" si="58"/>
        <v>createMovieClipSub</v>
      </c>
      <c r="K95" s="1" t="str">
        <f t="shared" si="62"/>
        <v>sphereSlot2</v>
      </c>
      <c r="L95" s="1" t="str">
        <f t="shared" si="63"/>
        <v>sphereSlot2</v>
      </c>
      <c r="M95" s="1"/>
      <c r="N95" s="14" t="str">
        <f t="shared" ca="1" si="59"/>
        <v>MovieClipSub * sphereSlot2;</v>
      </c>
      <c r="O95" s="14" t="str">
        <f t="shared" ca="1" si="57"/>
        <v>sphereSlot2= this-&gt;createMovieClipSub("sphereSlot2");</v>
      </c>
    </row>
    <row r="96" spans="1:15" x14ac:dyDescent="0.25">
      <c r="A96" s="1"/>
      <c r="B96" s="4" t="s">
        <v>665</v>
      </c>
      <c r="C96" s="1">
        <f t="shared" ref="C96" ca="1" si="64">indent(B96)</f>
        <v>2</v>
      </c>
      <c r="D96" s="1" t="s">
        <v>78</v>
      </c>
      <c r="E96" s="1" t="s">
        <v>126</v>
      </c>
      <c r="F96" s="1" t="s">
        <v>126</v>
      </c>
      <c r="G96" s="1" t="s">
        <v>669</v>
      </c>
      <c r="H96" s="1" t="str">
        <f t="shared" ref="H96" ca="1" si="65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66">CONCATENATE("create",IF(LEFT(G96,2)="MC",MID(G96,3,LEN(G96)),G96))</f>
        <v>createCase</v>
      </c>
      <c r="K96" s="1" t="str">
        <f t="shared" ref="K96" si="67">B96</f>
        <v>sphereSlotCase</v>
      </c>
      <c r="L96" s="1" t="str">
        <f t="shared" ref="L96" si="68">B96</f>
        <v>sphereSlotCase</v>
      </c>
      <c r="M96" s="1"/>
      <c r="N96" s="14" t="str">
        <f t="shared" ref="N96" ca="1" si="69">IF(C96&gt;0,G96 &amp; " * "&amp;H96 &amp;";","")</f>
        <v>MCCase * sphereSlot2SphereSlotCase;</v>
      </c>
      <c r="O96" s="14" t="str">
        <f t="shared" ca="1" si="57"/>
        <v>sphereSlot2SphereSlotCase= sphereSlot2-&gt;createCase("sphereSlotCase");</v>
      </c>
    </row>
    <row r="97" spans="1:15" x14ac:dyDescent="0.25">
      <c r="A97" s="1"/>
      <c r="B97" s="4" t="s">
        <v>144</v>
      </c>
      <c r="C97" s="1">
        <f t="shared" ca="1" si="60"/>
        <v>2</v>
      </c>
      <c r="D97" s="1" t="s">
        <v>78</v>
      </c>
      <c r="E97" s="38" t="s">
        <v>126</v>
      </c>
      <c r="F97" s="1" t="s">
        <v>126</v>
      </c>
      <c r="G97" s="1" t="s">
        <v>766</v>
      </c>
      <c r="H97" s="1" t="str">
        <f t="shared" ca="1" si="61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58"/>
        <v>createMovieClip</v>
      </c>
      <c r="K97" s="1" t="s">
        <v>719</v>
      </c>
      <c r="L97" s="1" t="s">
        <v>719</v>
      </c>
      <c r="M97" s="1"/>
      <c r="N97" s="14" t="str">
        <f t="shared" ca="1" si="59"/>
        <v>MovieClip * sphereSlot2SphereAnima;</v>
      </c>
      <c r="O97" s="14" t="str">
        <f t="shared" ca="1" si="57"/>
        <v>sphereSlot2SphereAnima= sphereSlot2-&gt;createMovieClip("sphereAnima","tower/","TowerMenuSphere_mc","TowerMenuSphere_mc");</v>
      </c>
    </row>
    <row r="98" spans="1:15" ht="13.8" customHeight="1" x14ac:dyDescent="0.25">
      <c r="A98" s="61" t="s">
        <v>718</v>
      </c>
      <c r="B98" s="5" t="s">
        <v>111</v>
      </c>
      <c r="C98" s="1">
        <f t="shared" ca="1" si="60"/>
        <v>3</v>
      </c>
      <c r="D98" s="1" t="s">
        <v>78</v>
      </c>
      <c r="E98" s="38" t="s">
        <v>126</v>
      </c>
      <c r="F98" s="1" t="s">
        <v>126</v>
      </c>
      <c r="G98" s="1" t="s">
        <v>586</v>
      </c>
      <c r="H98" s="1" t="str">
        <f t="shared" ca="1" si="61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58"/>
        <v>createMovieClipSub</v>
      </c>
      <c r="K98" s="1" t="str">
        <f t="shared" si="62"/>
        <v>fire</v>
      </c>
      <c r="L98" s="1" t="str">
        <f t="shared" si="63"/>
        <v>fire</v>
      </c>
      <c r="M98" s="1"/>
      <c r="N98" s="14" t="str">
        <f t="shared" ca="1" si="59"/>
        <v>MovieClipSub * sphereSlot2SphereAnimaFire;</v>
      </c>
      <c r="O98" s="14" t="str">
        <f t="shared" ca="1" si="57"/>
        <v>sphereSlot2SphereAnimaFire= sphereSlot2SphereAnima-&gt;createMovieClipSub("fire");</v>
      </c>
    </row>
    <row r="99" spans="1:15" x14ac:dyDescent="0.25">
      <c r="A99" s="62"/>
      <c r="B99" s="5" t="s">
        <v>112</v>
      </c>
      <c r="C99" s="1">
        <f t="shared" ca="1" si="60"/>
        <v>3</v>
      </c>
      <c r="D99" s="1" t="s">
        <v>78</v>
      </c>
      <c r="E99" s="38" t="s">
        <v>126</v>
      </c>
      <c r="F99" s="1" t="s">
        <v>126</v>
      </c>
      <c r="G99" s="1" t="s">
        <v>586</v>
      </c>
      <c r="H99" s="1" t="str">
        <f t="shared" ca="1" si="61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58"/>
        <v>createMovieClipSub</v>
      </c>
      <c r="K99" s="1" t="str">
        <f t="shared" si="62"/>
        <v>ice</v>
      </c>
      <c r="L99" s="1" t="str">
        <f t="shared" si="63"/>
        <v>ice</v>
      </c>
      <c r="M99" s="1"/>
      <c r="N99" s="14" t="str">
        <f t="shared" ca="1" si="59"/>
        <v>MovieClipSub * sphereSlot2SphereAnimaIce;</v>
      </c>
      <c r="O99" s="14" t="str">
        <f t="shared" ca="1" si="57"/>
        <v>sphereSlot2SphereAnimaIce= sphereSlot2SphereAnima-&gt;createMovieClipSub("ice");</v>
      </c>
    </row>
    <row r="100" spans="1:15" x14ac:dyDescent="0.25">
      <c r="A100" s="62"/>
      <c r="B100" s="5" t="s">
        <v>113</v>
      </c>
      <c r="C100" s="1">
        <f t="shared" ca="1" si="60"/>
        <v>3</v>
      </c>
      <c r="D100" s="1" t="s">
        <v>78</v>
      </c>
      <c r="E100" s="38" t="s">
        <v>126</v>
      </c>
      <c r="F100" s="1" t="s">
        <v>126</v>
      </c>
      <c r="G100" s="1" t="s">
        <v>586</v>
      </c>
      <c r="H100" s="1" t="str">
        <f t="shared" ca="1" si="61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58"/>
        <v>createMovieClipSub</v>
      </c>
      <c r="K100" s="1" t="str">
        <f t="shared" si="62"/>
        <v>stone</v>
      </c>
      <c r="L100" s="1" t="str">
        <f t="shared" si="63"/>
        <v>stone</v>
      </c>
      <c r="M100" s="1"/>
      <c r="N100" s="14" t="str">
        <f t="shared" ca="1" si="59"/>
        <v>MovieClipSub * sphereSlot2SphereAnimaStone;</v>
      </c>
      <c r="O100" s="14" t="str">
        <f t="shared" ca="1" si="57"/>
        <v>sphereSlot2SphereAnimaStone= sphereSlot2SphereAnima-&gt;createMovieClipSub("stone");</v>
      </c>
    </row>
    <row r="101" spans="1:15" x14ac:dyDescent="0.25">
      <c r="A101" s="63"/>
      <c r="B101" s="5" t="s">
        <v>114</v>
      </c>
      <c r="C101" s="1">
        <f t="shared" ca="1" si="60"/>
        <v>3</v>
      </c>
      <c r="D101" s="1" t="s">
        <v>78</v>
      </c>
      <c r="E101" s="38" t="s">
        <v>126</v>
      </c>
      <c r="F101" s="1" t="s">
        <v>126</v>
      </c>
      <c r="G101" s="1" t="s">
        <v>586</v>
      </c>
      <c r="H101" s="1" t="str">
        <f t="shared" ca="1" si="61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58"/>
        <v>createMovieClipSub</v>
      </c>
      <c r="K101" s="1" t="str">
        <f t="shared" si="62"/>
        <v>levin</v>
      </c>
      <c r="L101" s="1" t="str">
        <f t="shared" si="63"/>
        <v>levin</v>
      </c>
      <c r="M101" s="1"/>
      <c r="N101" s="14" t="str">
        <f t="shared" ca="1" si="59"/>
        <v>MovieClipSub * sphereSlot2SphereAnimaLevin;</v>
      </c>
      <c r="O101" s="14" t="str">
        <f t="shared" ca="1" si="57"/>
        <v>sphereSlot2SphereAnimaLevin= sphereSlot2SphereAnima-&gt;createMovieClipSub("levin");</v>
      </c>
    </row>
    <row r="102" spans="1:15" s="46" customFormat="1" x14ac:dyDescent="0.25">
      <c r="A102" s="42"/>
      <c r="B102" s="43" t="s">
        <v>152</v>
      </c>
      <c r="C102" s="42">
        <f t="shared" ca="1" si="60"/>
        <v>0</v>
      </c>
      <c r="D102" s="1" t="s">
        <v>78</v>
      </c>
      <c r="E102" s="42" t="s">
        <v>698</v>
      </c>
      <c r="F102" s="42"/>
      <c r="G102" s="44" t="s">
        <v>587</v>
      </c>
      <c r="H102" s="42" t="str">
        <f t="shared" ca="1" si="61"/>
        <v>UltraTowerMenuHint_mc</v>
      </c>
      <c r="I102" s="42" t="str">
        <f ca="1">IF(C102&lt;2,"this",IF(C102=C101,I101,IF(C102&gt;C101,H101, LOOKUP(1,0/(H$2:H101=I101),I$2:I102))))</f>
        <v>this</v>
      </c>
      <c r="J102" s="42" t="str">
        <f t="shared" si="58"/>
        <v>createMovieClip</v>
      </c>
      <c r="K102" s="42" t="str">
        <f t="shared" si="62"/>
        <v>UltraTowerMenuHint_mc</v>
      </c>
      <c r="L102" s="42" t="str">
        <f t="shared" si="63"/>
        <v>UltraTowerMenuHint_mc</v>
      </c>
      <c r="M102" s="42"/>
      <c r="N102" s="45" t="str">
        <f t="shared" ca="1" si="59"/>
        <v/>
      </c>
      <c r="O102" s="14" t="str">
        <f t="shared" ca="1" si="57"/>
        <v>UltraTowerMenuHint_mc::UltraTowerMenuHint_mc:MovieClip("tower/","UltraTowerMenuHint_mc","UltraTowerMenuHint_mc"{)</v>
      </c>
    </row>
    <row r="103" spans="1:15" s="46" customFormat="1" x14ac:dyDescent="0.25">
      <c r="A103" s="42"/>
      <c r="B103" s="47" t="s">
        <v>153</v>
      </c>
      <c r="C103" s="42">
        <f t="shared" ca="1" si="60"/>
        <v>1</v>
      </c>
      <c r="D103" s="1" t="s">
        <v>78</v>
      </c>
      <c r="E103" s="42"/>
      <c r="F103" s="42"/>
      <c r="G103" s="42" t="s">
        <v>671</v>
      </c>
      <c r="H103" s="42" t="str">
        <f t="shared" ca="1" si="61"/>
        <v>damageTXT</v>
      </c>
      <c r="I103" s="42" t="str">
        <f ca="1">IF(C103&lt;2,"this",IF(C103=C102,I102,IF(C103&gt;C102,H102, LOOKUP(1,0/(H$2:H102=I102),I$2:I103))))</f>
        <v>this</v>
      </c>
      <c r="J103" s="42" t="str">
        <f t="shared" si="58"/>
        <v>createText</v>
      </c>
      <c r="K103" s="42" t="str">
        <f t="shared" si="62"/>
        <v>damageTXT</v>
      </c>
      <c r="L103" s="42" t="str">
        <f t="shared" si="63"/>
        <v>damageTXT</v>
      </c>
      <c r="M103" s="42"/>
      <c r="N103" s="45" t="str">
        <f t="shared" ca="1" si="59"/>
        <v>MCText * damageTXT;</v>
      </c>
      <c r="O103" s="14" t="str">
        <f t="shared" ca="1" si="57"/>
        <v>damageTXT= this-&gt;createText("damageTXT");</v>
      </c>
    </row>
    <row r="104" spans="1:15" s="46" customFormat="1" x14ac:dyDescent="0.25">
      <c r="A104" s="42"/>
      <c r="B104" s="47" t="s">
        <v>104</v>
      </c>
      <c r="C104" s="42">
        <f t="shared" ca="1" si="60"/>
        <v>1</v>
      </c>
      <c r="D104" s="1" t="s">
        <v>78</v>
      </c>
      <c r="E104" s="42"/>
      <c r="F104" s="42"/>
      <c r="G104" s="42" t="s">
        <v>671</v>
      </c>
      <c r="H104" s="42" t="str">
        <f t="shared" ca="1" si="61"/>
        <v>nameTXT</v>
      </c>
      <c r="I104" s="42" t="str">
        <f ca="1">IF(C104&lt;2,"this",IF(C104=C103,I103,IF(C104&gt;C103,H103, LOOKUP(1,0/(H$2:H103=I103),I$2:I104))))</f>
        <v>this</v>
      </c>
      <c r="J104" s="42" t="str">
        <f t="shared" si="58"/>
        <v>createText</v>
      </c>
      <c r="K104" s="42" t="str">
        <f t="shared" si="62"/>
        <v>nameTXT</v>
      </c>
      <c r="L104" s="42" t="str">
        <f t="shared" si="63"/>
        <v>nameTXT</v>
      </c>
      <c r="M104" s="42"/>
      <c r="N104" s="45" t="str">
        <f t="shared" ca="1" si="59"/>
        <v>MCText * nameTXT;</v>
      </c>
      <c r="O104" s="14" t="str">
        <f t="shared" ca="1" si="57"/>
        <v>nameTXT= this-&gt;createText("nameTXT");</v>
      </c>
    </row>
    <row r="105" spans="1:15" s="46" customFormat="1" x14ac:dyDescent="0.25">
      <c r="A105" s="42"/>
      <c r="B105" s="47" t="s">
        <v>154</v>
      </c>
      <c r="C105" s="42">
        <f t="shared" ca="1" si="60"/>
        <v>1</v>
      </c>
      <c r="D105" s="1" t="s">
        <v>78</v>
      </c>
      <c r="E105" s="42"/>
      <c r="F105" s="42"/>
      <c r="G105" s="42" t="s">
        <v>671</v>
      </c>
      <c r="H105" s="42" t="str">
        <f t="shared" ca="1" si="61"/>
        <v>noteTXT</v>
      </c>
      <c r="I105" s="42" t="str">
        <f ca="1">IF(C105&lt;2,"this",IF(C105=C104,I104,IF(C105&gt;C104,H104, LOOKUP(1,0/(H$2:H104=I104),I$2:I105))))</f>
        <v>this</v>
      </c>
      <c r="J105" s="42" t="str">
        <f t="shared" si="58"/>
        <v>createText</v>
      </c>
      <c r="K105" s="42" t="str">
        <f t="shared" si="62"/>
        <v>noteTXT</v>
      </c>
      <c r="L105" s="42" t="str">
        <f t="shared" si="63"/>
        <v>noteTXT</v>
      </c>
      <c r="M105" s="42"/>
      <c r="N105" s="45" t="str">
        <f t="shared" ca="1" si="59"/>
        <v>MCText * noteTXT;</v>
      </c>
      <c r="O105" s="14" t="str">
        <f t="shared" ca="1" si="57"/>
        <v>noteTXT= this-&gt;createText("noteTXT");</v>
      </c>
    </row>
    <row r="106" spans="1:15" x14ac:dyDescent="0.25">
      <c r="A106" s="11" t="s">
        <v>155</v>
      </c>
      <c r="B106" s="29" t="s">
        <v>692</v>
      </c>
      <c r="C106" s="1">
        <f t="shared" ca="1" si="60"/>
        <v>0</v>
      </c>
      <c r="D106" s="1" t="s">
        <v>78</v>
      </c>
      <c r="E106" s="1"/>
      <c r="F106" s="1" t="s">
        <v>696</v>
      </c>
      <c r="G106" s="21" t="s">
        <v>587</v>
      </c>
      <c r="H106" s="1" t="str">
        <f t="shared" ca="1" si="61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58"/>
        <v>createMovieClip</v>
      </c>
      <c r="K106" s="1" t="str">
        <f t="shared" si="62"/>
        <v>Tower1_mc</v>
      </c>
      <c r="L106" s="1" t="str">
        <f t="shared" si="63"/>
        <v>Tower1_mc</v>
      </c>
      <c r="M106" s="1"/>
      <c r="N106" s="14" t="str">
        <f t="shared" ca="1" si="59"/>
        <v/>
      </c>
      <c r="O106" s="14" t="str">
        <f t="shared" ca="1" si="57"/>
        <v>Tower1_mc::Tower1_mc:MovieClip("tower/","Tower1_mc","Tower1_mc"{)</v>
      </c>
    </row>
    <row r="107" spans="1:15" x14ac:dyDescent="0.25">
      <c r="A107" s="54" t="s">
        <v>720</v>
      </c>
      <c r="B107" s="3" t="s">
        <v>156</v>
      </c>
      <c r="C107" s="1">
        <f t="shared" ca="1" si="60"/>
        <v>1</v>
      </c>
      <c r="D107" s="1" t="s">
        <v>78</v>
      </c>
      <c r="E107" s="1" t="s">
        <v>126</v>
      </c>
      <c r="F107" s="1" t="s">
        <v>696</v>
      </c>
      <c r="G107" s="1" t="s">
        <v>766</v>
      </c>
      <c r="H107" s="1" t="str">
        <f t="shared" ca="1" si="61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58"/>
        <v>createMovieClip</v>
      </c>
      <c r="K107" s="1" t="s">
        <v>768</v>
      </c>
      <c r="L107" s="1" t="str">
        <f t="shared" si="63"/>
        <v>blockTower</v>
      </c>
      <c r="M107" s="1"/>
      <c r="N107" s="14" t="str">
        <f t="shared" ca="1" si="59"/>
        <v>MovieClip * blockTower;</v>
      </c>
      <c r="O107" s="14" t="str">
        <f t="shared" ca="1" si="57"/>
        <v>blockTower= this-&gt;createMovieClip("blockTower","tower/","blockTower","TowerBlockBone");</v>
      </c>
    </row>
    <row r="108" spans="1:15" x14ac:dyDescent="0.25">
      <c r="A108" s="55"/>
      <c r="B108" s="3" t="s">
        <v>157</v>
      </c>
      <c r="C108" s="1">
        <f t="shared" ca="1" si="60"/>
        <v>1</v>
      </c>
      <c r="D108" s="1" t="s">
        <v>78</v>
      </c>
      <c r="E108" s="1" t="s">
        <v>126</v>
      </c>
      <c r="F108" s="1" t="s">
        <v>696</v>
      </c>
      <c r="G108" s="1" t="s">
        <v>766</v>
      </c>
      <c r="H108" s="1" t="str">
        <f t="shared" ca="1" si="61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58"/>
        <v>createMovieClip</v>
      </c>
      <c r="K108" s="1" t="s">
        <v>768</v>
      </c>
      <c r="L108" s="1" t="str">
        <f t="shared" si="63"/>
        <v>boneBlock</v>
      </c>
      <c r="M108" s="1"/>
      <c r="N108" s="14" t="str">
        <f t="shared" ca="1" si="59"/>
        <v>MovieClip * boneBlock;</v>
      </c>
      <c r="O108" s="14" t="str">
        <f t="shared" ca="1" si="57"/>
        <v>boneBlock= this-&gt;createMovieClip("boneBlock","tower/","boneBlock","TowerBlockBone");</v>
      </c>
    </row>
    <row r="109" spans="1:15" x14ac:dyDescent="0.25">
      <c r="A109" s="11"/>
      <c r="B109" s="3" t="s">
        <v>158</v>
      </c>
      <c r="C109" s="1">
        <f t="shared" ca="1" si="60"/>
        <v>1</v>
      </c>
      <c r="D109" s="1" t="s">
        <v>78</v>
      </c>
      <c r="E109" s="1" t="s">
        <v>126</v>
      </c>
      <c r="F109" s="1" t="s">
        <v>696</v>
      </c>
      <c r="G109" s="1" t="s">
        <v>586</v>
      </c>
      <c r="H109" s="1" t="str">
        <f t="shared" ca="1" si="61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58"/>
        <v>createMovieClipSub</v>
      </c>
      <c r="K109" s="1" t="str">
        <f t="shared" si="62"/>
        <v>selectTower</v>
      </c>
      <c r="L109" s="1" t="str">
        <f t="shared" si="63"/>
        <v>selectTower</v>
      </c>
      <c r="M109" s="1"/>
      <c r="N109" s="14" t="str">
        <f t="shared" ca="1" si="59"/>
        <v>MovieClipSub * selectTower;</v>
      </c>
      <c r="O109" s="14" t="str">
        <f t="shared" ca="1" si="57"/>
        <v>selectTower= this-&gt;createMovieClipSub("selectTower");</v>
      </c>
    </row>
    <row r="110" spans="1:15" x14ac:dyDescent="0.25">
      <c r="A110" s="11"/>
      <c r="B110" s="3" t="s">
        <v>159</v>
      </c>
      <c r="C110" s="1">
        <f t="shared" ca="1" si="60"/>
        <v>1</v>
      </c>
      <c r="D110" s="1" t="s">
        <v>78</v>
      </c>
      <c r="E110" s="1" t="s">
        <v>126</v>
      </c>
      <c r="F110" s="1" t="s">
        <v>696</v>
      </c>
      <c r="G110" s="1" t="s">
        <v>669</v>
      </c>
      <c r="H110" s="1" t="str">
        <f t="shared" ca="1" si="61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58"/>
        <v>createCase</v>
      </c>
      <c r="K110" s="1" t="str">
        <f t="shared" si="62"/>
        <v>towerCase</v>
      </c>
      <c r="L110" s="1" t="str">
        <f t="shared" si="63"/>
        <v>towerCase</v>
      </c>
      <c r="M110" s="1"/>
      <c r="N110" s="14" t="str">
        <f t="shared" ca="1" si="59"/>
        <v>MCCase * towerCase;</v>
      </c>
      <c r="O110" s="14" t="str">
        <f t="shared" ca="1" si="57"/>
        <v>towerCase= this-&gt;createCase("towerCase");</v>
      </c>
    </row>
    <row r="111" spans="1:15" x14ac:dyDescent="0.25">
      <c r="A111" s="11"/>
      <c r="B111" s="3" t="s">
        <v>704</v>
      </c>
      <c r="C111" s="1">
        <f t="shared" ca="1" si="60"/>
        <v>1</v>
      </c>
      <c r="D111" s="1" t="s">
        <v>78</v>
      </c>
      <c r="E111" s="1" t="s">
        <v>126</v>
      </c>
      <c r="F111" s="1" t="s">
        <v>696</v>
      </c>
      <c r="G111" s="1" t="s">
        <v>586</v>
      </c>
      <c r="H111" s="1" t="str">
        <f t="shared" ca="1" si="61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58"/>
        <v>createMovieClipSub</v>
      </c>
      <c r="K111" s="1" t="str">
        <f t="shared" si="62"/>
        <v>sphere1</v>
      </c>
      <c r="L111" s="1" t="str">
        <f t="shared" si="63"/>
        <v>sphere1</v>
      </c>
      <c r="M111" s="1"/>
      <c r="N111" s="14" t="str">
        <f t="shared" ca="1" si="59"/>
        <v>MovieClipSub * sphere1;</v>
      </c>
      <c r="O111" s="14" t="str">
        <f t="shared" ca="1" si="57"/>
        <v>sphere1= this-&gt;createMovieClipSub("sphere1");</v>
      </c>
    </row>
    <row r="112" spans="1:15" x14ac:dyDescent="0.25">
      <c r="A112" s="11" t="s">
        <v>703</v>
      </c>
      <c r="B112" s="4" t="s">
        <v>204</v>
      </c>
      <c r="C112" s="1">
        <f t="shared" ca="1" si="60"/>
        <v>2</v>
      </c>
      <c r="D112" s="1" t="s">
        <v>78</v>
      </c>
      <c r="E112" s="1" t="s">
        <v>126</v>
      </c>
      <c r="F112" s="1" t="s">
        <v>696</v>
      </c>
      <c r="G112" s="1" t="s">
        <v>586</v>
      </c>
      <c r="H112" s="1" t="str">
        <f t="shared" ca="1" si="61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58"/>
        <v>createMovieClipSub</v>
      </c>
      <c r="K112" s="1" t="s">
        <v>703</v>
      </c>
      <c r="L112" s="1" t="str">
        <f t="shared" si="63"/>
        <v>bullet</v>
      </c>
      <c r="M112" s="1" t="s">
        <v>771</v>
      </c>
      <c r="N112" s="14" t="str">
        <f t="shared" ca="1" si="59"/>
        <v>MovieClipSub * sphere1Bullet;</v>
      </c>
      <c r="O112" s="14" t="str">
        <f t="shared" ca="1" si="57"/>
        <v>sphere1Bullet= sphere1-&gt;createMovieClipSub("BulletSphereTower_mc");</v>
      </c>
    </row>
    <row r="113" spans="1:15" x14ac:dyDescent="0.25">
      <c r="A113" s="11"/>
      <c r="B113" s="5" t="s">
        <v>80</v>
      </c>
      <c r="C113" s="1">
        <f t="shared" ca="1" si="60"/>
        <v>3</v>
      </c>
      <c r="D113" s="1" t="s">
        <v>78</v>
      </c>
      <c r="E113" s="1" t="s">
        <v>126</v>
      </c>
      <c r="F113" s="1" t="s">
        <v>696</v>
      </c>
      <c r="G113" s="1" t="s">
        <v>586</v>
      </c>
      <c r="H113" s="1" t="str">
        <f t="shared" ca="1" si="61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58"/>
        <v>createMovieClipSub</v>
      </c>
      <c r="K113" s="1" t="str">
        <f t="shared" si="62"/>
        <v>cont</v>
      </c>
      <c r="L113" s="1" t="str">
        <f t="shared" si="63"/>
        <v>cont</v>
      </c>
      <c r="M113" s="1"/>
      <c r="N113" s="14" t="str">
        <f t="shared" ca="1" si="59"/>
        <v>MovieClipSub * sphere1BulletCont;</v>
      </c>
      <c r="O113" s="14" t="str">
        <f t="shared" ca="1" si="57"/>
        <v>sphere1BulletCont= sphere1Bullet-&gt;createMovieClipSub("cont");</v>
      </c>
    </row>
    <row r="114" spans="1:15" x14ac:dyDescent="0.25">
      <c r="A114" s="11" t="s">
        <v>161</v>
      </c>
      <c r="B114" s="29" t="s">
        <v>160</v>
      </c>
      <c r="C114" s="1">
        <f t="shared" ca="1" si="60"/>
        <v>0</v>
      </c>
      <c r="D114" s="1" t="s">
        <v>78</v>
      </c>
      <c r="E114" s="1" t="s">
        <v>126</v>
      </c>
      <c r="F114" s="1" t="s">
        <v>126</v>
      </c>
      <c r="G114" s="21" t="s">
        <v>587</v>
      </c>
      <c r="H114" s="1" t="str">
        <f t="shared" ca="1" si="61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58"/>
        <v>createMovieClip</v>
      </c>
      <c r="K114" s="1" t="str">
        <f t="shared" si="62"/>
        <v>Tower2_mc</v>
      </c>
      <c r="L114" s="1" t="str">
        <f t="shared" si="63"/>
        <v>Tower2_mc</v>
      </c>
      <c r="M114" s="1"/>
      <c r="N114" s="14" t="str">
        <f t="shared" ca="1" si="59"/>
        <v/>
      </c>
      <c r="O114" s="14" t="str">
        <f t="shared" ca="1" si="57"/>
        <v>Tower2_mc::Tower2_mc:MovieClip("tower/","Tower2_mc","Tower2_mc"{)</v>
      </c>
    </row>
    <row r="115" spans="1:15" x14ac:dyDescent="0.25">
      <c r="A115" s="54" t="s">
        <v>720</v>
      </c>
      <c r="B115" s="3" t="s">
        <v>156</v>
      </c>
      <c r="C115" s="1">
        <f t="shared" ca="1" si="60"/>
        <v>1</v>
      </c>
      <c r="D115" s="1" t="s">
        <v>78</v>
      </c>
      <c r="E115" s="1" t="s">
        <v>126</v>
      </c>
      <c r="F115" s="1" t="s">
        <v>126</v>
      </c>
      <c r="G115" s="1" t="s">
        <v>766</v>
      </c>
      <c r="H115" s="1" t="str">
        <f t="shared" ca="1" si="61"/>
        <v>blockTower</v>
      </c>
      <c r="I115" s="1" t="str">
        <f ca="1">IF(C115&lt;2,"this",IF(C115=C114,I114,IF(C115&gt;C114,H114, LOOKUP(1,0/(H$2:H114=I114),I$2:I115))))</f>
        <v>this</v>
      </c>
      <c r="J115" s="1" t="str">
        <f>CONCATENATE("create",IF(LEFT(G115,2)="MC",MID(G115,3,LEN(G115)),G115))</f>
        <v>createMovieClip</v>
      </c>
      <c r="K115" s="1" t="s">
        <v>768</v>
      </c>
      <c r="L115" s="1" t="str">
        <f t="shared" ref="L115:L116" si="70">B115</f>
        <v>blockTower</v>
      </c>
      <c r="M115" s="1"/>
      <c r="N115" s="14" t="str">
        <f t="shared" ca="1" si="59"/>
        <v>MovieClip * blockTower;</v>
      </c>
      <c r="O115" s="14" t="str">
        <f t="shared" ca="1" si="57"/>
        <v>blockTower= this-&gt;createMovieClip("blockTower","tower/","blockTower","TowerBlockBone");</v>
      </c>
    </row>
    <row r="116" spans="1:15" x14ac:dyDescent="0.25">
      <c r="A116" s="55"/>
      <c r="B116" s="3" t="s">
        <v>157</v>
      </c>
      <c r="C116" s="1">
        <f t="shared" ca="1" si="60"/>
        <v>1</v>
      </c>
      <c r="D116" s="1" t="s">
        <v>78</v>
      </c>
      <c r="E116" s="1" t="s">
        <v>126</v>
      </c>
      <c r="F116" s="1" t="s">
        <v>126</v>
      </c>
      <c r="G116" s="1" t="s">
        <v>766</v>
      </c>
      <c r="H116" s="1" t="str">
        <f t="shared" ca="1" si="61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58"/>
        <v>createMovieClip</v>
      </c>
      <c r="K116" s="1" t="s">
        <v>768</v>
      </c>
      <c r="L116" s="1" t="str">
        <f t="shared" si="70"/>
        <v>boneBlock</v>
      </c>
      <c r="M116" s="1"/>
      <c r="N116" s="14" t="str">
        <f t="shared" ca="1" si="59"/>
        <v>MovieClip * boneBlock;</v>
      </c>
      <c r="O116" s="14" t="str">
        <f t="shared" ca="1" si="57"/>
        <v>boneBlock= this-&gt;createMovieClip("boneBlock","tower/","boneBlock","TowerBlockBone");</v>
      </c>
    </row>
    <row r="117" spans="1:15" x14ac:dyDescent="0.25">
      <c r="A117" s="11"/>
      <c r="B117" s="3" t="s">
        <v>158</v>
      </c>
      <c r="C117" s="1">
        <f t="shared" ca="1" si="60"/>
        <v>1</v>
      </c>
      <c r="D117" s="1" t="s">
        <v>78</v>
      </c>
      <c r="E117" s="1" t="s">
        <v>126</v>
      </c>
      <c r="F117" s="1" t="s">
        <v>126</v>
      </c>
      <c r="G117" s="1" t="s">
        <v>586</v>
      </c>
      <c r="H117" s="1" t="str">
        <f t="shared" ca="1" si="61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58"/>
        <v>createMovieClipSub</v>
      </c>
      <c r="K117" s="1" t="str">
        <f t="shared" si="62"/>
        <v>selectTower</v>
      </c>
      <c r="L117" s="1" t="str">
        <f t="shared" si="63"/>
        <v>selectTower</v>
      </c>
      <c r="M117" s="1"/>
      <c r="N117" s="14" t="str">
        <f t="shared" ca="1" si="59"/>
        <v>MovieClipSub * selectTower;</v>
      </c>
      <c r="O117" s="14" t="str">
        <f t="shared" ca="1" si="57"/>
        <v>selectTower= this-&gt;createMovieClipSub("selectTower");</v>
      </c>
    </row>
    <row r="118" spans="1:15" x14ac:dyDescent="0.25">
      <c r="A118" s="11"/>
      <c r="B118" s="3" t="s">
        <v>159</v>
      </c>
      <c r="C118" s="1">
        <f t="shared" ca="1" si="60"/>
        <v>1</v>
      </c>
      <c r="D118" s="1" t="s">
        <v>78</v>
      </c>
      <c r="E118" s="1" t="s">
        <v>126</v>
      </c>
      <c r="F118" s="1" t="s">
        <v>126</v>
      </c>
      <c r="G118" s="1" t="s">
        <v>669</v>
      </c>
      <c r="H118" s="1" t="str">
        <f t="shared" ca="1" si="61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58"/>
        <v>createCase</v>
      </c>
      <c r="K118" s="1" t="str">
        <f t="shared" si="62"/>
        <v>towerCase</v>
      </c>
      <c r="L118" s="1" t="str">
        <f t="shared" si="63"/>
        <v>towerCase</v>
      </c>
      <c r="M118" s="1"/>
      <c r="N118" s="14" t="str">
        <f t="shared" ca="1" si="59"/>
        <v>MCCase * towerCase;</v>
      </c>
      <c r="O118" s="14" t="str">
        <f t="shared" ca="1" si="57"/>
        <v>towerCase= this-&gt;createCase("towerCase");</v>
      </c>
    </row>
    <row r="119" spans="1:15" x14ac:dyDescent="0.25">
      <c r="A119" s="11"/>
      <c r="B119" s="3" t="s">
        <v>108</v>
      </c>
      <c r="C119" s="1">
        <f t="shared" ca="1" si="60"/>
        <v>1</v>
      </c>
      <c r="D119" s="1" t="s">
        <v>78</v>
      </c>
      <c r="E119" s="1" t="s">
        <v>126</v>
      </c>
      <c r="F119" s="1" t="s">
        <v>126</v>
      </c>
      <c r="G119" s="1" t="s">
        <v>586</v>
      </c>
      <c r="H119" s="1" t="str">
        <f t="shared" ca="1" si="61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58"/>
        <v>createMovieClipSub</v>
      </c>
      <c r="K119" s="1" t="str">
        <f t="shared" si="62"/>
        <v>sphere1</v>
      </c>
      <c r="L119" s="1" t="str">
        <f t="shared" si="63"/>
        <v>sphere1</v>
      </c>
      <c r="M119" s="1"/>
      <c r="N119" s="14" t="str">
        <f t="shared" ca="1" si="59"/>
        <v>MovieClipSub * sphere1;</v>
      </c>
      <c r="O119" s="14" t="str">
        <f t="shared" ca="1" si="57"/>
        <v>sphere1= this-&gt;createMovieClipSub("sphere1");</v>
      </c>
    </row>
    <row r="120" spans="1:15" x14ac:dyDescent="0.25">
      <c r="A120" s="11" t="s">
        <v>703</v>
      </c>
      <c r="B120" s="4" t="s">
        <v>204</v>
      </c>
      <c r="C120" s="1">
        <f t="shared" ca="1" si="60"/>
        <v>2</v>
      </c>
      <c r="D120" s="1" t="s">
        <v>78</v>
      </c>
      <c r="E120" s="1" t="s">
        <v>126</v>
      </c>
      <c r="F120" s="1" t="s">
        <v>126</v>
      </c>
      <c r="G120" s="1" t="s">
        <v>766</v>
      </c>
      <c r="H120" s="1" t="str">
        <f t="shared" ca="1" si="61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58"/>
        <v>createMovieClip</v>
      </c>
      <c r="K120" s="1" t="s">
        <v>703</v>
      </c>
      <c r="L120" s="1" t="str">
        <f t="shared" si="63"/>
        <v>bullet</v>
      </c>
      <c r="M120" s="1" t="s">
        <v>771</v>
      </c>
      <c r="N120" s="14" t="str">
        <f t="shared" ca="1" si="59"/>
        <v>MovieClip * sphere1Bullet;</v>
      </c>
      <c r="O120" s="14" t="str">
        <f t="shared" ca="1" si="57"/>
        <v>sphere1Bullet= (BulletSphereTower_mc*)sphere1-&gt;createMovieClip("bullet",new BulletSphereTower_mc());</v>
      </c>
    </row>
    <row r="121" spans="1:15" x14ac:dyDescent="0.25">
      <c r="B121" s="5" t="s">
        <v>80</v>
      </c>
      <c r="C121" s="1">
        <f t="shared" ca="1" si="60"/>
        <v>3</v>
      </c>
      <c r="D121" s="1" t="s">
        <v>78</v>
      </c>
      <c r="E121" s="1" t="s">
        <v>126</v>
      </c>
      <c r="F121" s="1" t="s">
        <v>126</v>
      </c>
      <c r="G121" s="1" t="s">
        <v>586</v>
      </c>
      <c r="H121" s="1" t="str">
        <f t="shared" ca="1" si="61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58"/>
        <v>createMovieClipSub</v>
      </c>
      <c r="K121" s="1" t="str">
        <f t="shared" si="62"/>
        <v>cont</v>
      </c>
      <c r="L121" s="1" t="str">
        <f t="shared" si="63"/>
        <v>cont</v>
      </c>
      <c r="M121" s="1"/>
      <c r="N121" s="14" t="str">
        <f t="shared" ca="1" si="59"/>
        <v>MovieClipSub * sphere1BulletCont;</v>
      </c>
      <c r="O121" s="14" t="str">
        <f t="shared" ca="1" si="57"/>
        <v>sphere1BulletCont= sphere1Bullet-&gt;createMovieClipSub("cont");</v>
      </c>
    </row>
    <row r="122" spans="1:15" x14ac:dyDescent="0.25">
      <c r="A122" s="11"/>
      <c r="B122" s="3" t="s">
        <v>162</v>
      </c>
      <c r="C122" s="1">
        <f t="shared" ca="1" si="60"/>
        <v>1</v>
      </c>
      <c r="D122" s="1" t="s">
        <v>78</v>
      </c>
      <c r="E122" s="1" t="s">
        <v>126</v>
      </c>
      <c r="F122" s="1" t="s">
        <v>126</v>
      </c>
      <c r="G122" s="1" t="s">
        <v>586</v>
      </c>
      <c r="H122" s="1" t="str">
        <f t="shared" ca="1" si="61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58"/>
        <v>createMovieClipSub</v>
      </c>
      <c r="K122" s="1" t="str">
        <f t="shared" si="62"/>
        <v>sphere2_1</v>
      </c>
      <c r="L122" s="1" t="str">
        <f t="shared" si="63"/>
        <v>sphere2_1</v>
      </c>
      <c r="M122" s="1"/>
      <c r="N122" s="14" t="str">
        <f t="shared" ca="1" si="59"/>
        <v>MovieClipSub * sphere2_1;</v>
      </c>
      <c r="O122" s="14" t="str">
        <f t="shared" ca="1" si="57"/>
        <v>sphere2_1= this-&gt;createMovieClipSub("sphere2_1");</v>
      </c>
    </row>
    <row r="123" spans="1:15" x14ac:dyDescent="0.25">
      <c r="A123" s="11" t="s">
        <v>703</v>
      </c>
      <c r="B123" s="4" t="s">
        <v>204</v>
      </c>
      <c r="C123" s="1">
        <f t="shared" ca="1" si="60"/>
        <v>2</v>
      </c>
      <c r="D123" s="1" t="s">
        <v>78</v>
      </c>
      <c r="E123" s="1" t="s">
        <v>126</v>
      </c>
      <c r="F123" s="1" t="s">
        <v>126</v>
      </c>
      <c r="G123" s="1" t="s">
        <v>766</v>
      </c>
      <c r="H123" s="1" t="str">
        <f t="shared" ca="1" si="61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58"/>
        <v>createMovieClip</v>
      </c>
      <c r="K123" s="1" t="s">
        <v>703</v>
      </c>
      <c r="L123" s="1" t="str">
        <f t="shared" si="63"/>
        <v>bullet</v>
      </c>
      <c r="M123" s="1" t="s">
        <v>771</v>
      </c>
      <c r="N123" s="14" t="str">
        <f t="shared" ca="1" si="59"/>
        <v>MovieClip * sphere2_1Bullet;</v>
      </c>
      <c r="O123" s="14" t="str">
        <f t="shared" ca="1" si="57"/>
        <v>sphere2_1Bullet= (BulletSphereTower_mc*)sphere2_1-&gt;createMovieClip("bullet",new BulletSphereTower_mc());</v>
      </c>
    </row>
    <row r="124" spans="1:15" x14ac:dyDescent="0.25">
      <c r="B124" s="5" t="s">
        <v>80</v>
      </c>
      <c r="C124" s="1">
        <f t="shared" ca="1" si="60"/>
        <v>3</v>
      </c>
      <c r="D124" s="1" t="s">
        <v>78</v>
      </c>
      <c r="E124" s="1" t="s">
        <v>126</v>
      </c>
      <c r="F124" s="1" t="s">
        <v>126</v>
      </c>
      <c r="G124" s="1" t="s">
        <v>586</v>
      </c>
      <c r="H124" s="1" t="str">
        <f t="shared" ca="1" si="61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58"/>
        <v>createMovieClipSub</v>
      </c>
      <c r="K124" s="1" t="str">
        <f t="shared" si="62"/>
        <v>cont</v>
      </c>
      <c r="L124" s="1" t="str">
        <f t="shared" si="63"/>
        <v>cont</v>
      </c>
      <c r="M124" s="1"/>
      <c r="N124" s="14" t="str">
        <f t="shared" ca="1" si="59"/>
        <v>MovieClipSub * sphere2_1BulletCont;</v>
      </c>
      <c r="O124" s="14" t="str">
        <f t="shared" ca="1" si="57"/>
        <v>sphere2_1BulletCont= sphere2_1Bullet-&gt;createMovieClipSub("cont");</v>
      </c>
    </row>
    <row r="125" spans="1:15" x14ac:dyDescent="0.25">
      <c r="A125" s="11"/>
      <c r="B125" s="3" t="s">
        <v>163</v>
      </c>
      <c r="C125" s="1">
        <f t="shared" ca="1" si="60"/>
        <v>1</v>
      </c>
      <c r="D125" s="1" t="s">
        <v>78</v>
      </c>
      <c r="E125" s="1" t="s">
        <v>126</v>
      </c>
      <c r="F125" s="1" t="s">
        <v>126</v>
      </c>
      <c r="G125" s="1" t="s">
        <v>586</v>
      </c>
      <c r="H125" s="1" t="str">
        <f t="shared" ca="1" si="61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58"/>
        <v>createMovieClipSub</v>
      </c>
      <c r="K125" s="1" t="str">
        <f t="shared" si="62"/>
        <v>sphere2_2</v>
      </c>
      <c r="L125" s="1" t="str">
        <f t="shared" si="63"/>
        <v>sphere2_2</v>
      </c>
      <c r="M125" s="1"/>
      <c r="N125" s="14" t="str">
        <f t="shared" ca="1" si="59"/>
        <v>MovieClipSub * sphere2_2;</v>
      </c>
      <c r="O125" s="14" t="str">
        <f t="shared" ca="1" si="57"/>
        <v>sphere2_2= this-&gt;createMovieClipSub("sphere2_2");</v>
      </c>
    </row>
    <row r="126" spans="1:15" x14ac:dyDescent="0.25">
      <c r="A126" s="11" t="s">
        <v>717</v>
      </c>
      <c r="B126" s="4" t="s">
        <v>204</v>
      </c>
      <c r="C126" s="1">
        <f t="shared" ca="1" si="60"/>
        <v>2</v>
      </c>
      <c r="D126" s="1" t="s">
        <v>78</v>
      </c>
      <c r="E126" s="1" t="s">
        <v>126</v>
      </c>
      <c r="F126" s="1" t="s">
        <v>126</v>
      </c>
      <c r="G126" s="1" t="s">
        <v>766</v>
      </c>
      <c r="H126" s="1" t="str">
        <f t="shared" ca="1" si="61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58"/>
        <v>createMovieClip</v>
      </c>
      <c r="K126" s="1" t="s">
        <v>703</v>
      </c>
      <c r="L126" s="1" t="str">
        <f t="shared" si="63"/>
        <v>bullet</v>
      </c>
      <c r="M126" s="1" t="s">
        <v>771</v>
      </c>
      <c r="N126" s="14" t="str">
        <f t="shared" ca="1" si="59"/>
        <v>MovieClip * sphere2_2Bullet;</v>
      </c>
      <c r="O126" s="14" t="str">
        <f t="shared" ca="1" si="57"/>
        <v>sphere2_2Bullet= (BulletSphereTower_mc*)sphere2_2-&gt;createMovieClip("bullet",new BulletSphereTower_mc());</v>
      </c>
    </row>
    <row r="127" spans="1:15" x14ac:dyDescent="0.25">
      <c r="B127" s="5" t="s">
        <v>80</v>
      </c>
      <c r="C127" s="1">
        <f t="shared" ca="1" si="60"/>
        <v>3</v>
      </c>
      <c r="D127" s="1" t="s">
        <v>78</v>
      </c>
      <c r="E127" s="1" t="s">
        <v>126</v>
      </c>
      <c r="F127" s="1" t="s">
        <v>126</v>
      </c>
      <c r="G127" s="1" t="s">
        <v>586</v>
      </c>
      <c r="H127" s="1" t="str">
        <f t="shared" ca="1" si="61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58"/>
        <v>createMovieClipSub</v>
      </c>
      <c r="K127" s="1" t="str">
        <f t="shared" si="62"/>
        <v>cont</v>
      </c>
      <c r="L127" s="1" t="str">
        <f t="shared" si="63"/>
        <v>cont</v>
      </c>
      <c r="M127" s="1"/>
      <c r="N127" s="14" t="str">
        <f t="shared" ca="1" si="59"/>
        <v>MovieClipSub * sphere2_2BulletCont;</v>
      </c>
      <c r="O127" s="14" t="str">
        <f t="shared" ca="1" si="57"/>
        <v>sphere2_2BulletCont= sphere2_2Bullet-&gt;createMovieClipSub("cont");</v>
      </c>
    </row>
    <row r="128" spans="1:15" x14ac:dyDescent="0.25">
      <c r="A128" s="1" t="s">
        <v>165</v>
      </c>
      <c r="B128" s="29" t="s">
        <v>164</v>
      </c>
      <c r="C128" s="1">
        <f t="shared" ca="1" si="60"/>
        <v>0</v>
      </c>
      <c r="D128" s="1" t="s">
        <v>78</v>
      </c>
      <c r="E128" s="1" t="s">
        <v>126</v>
      </c>
      <c r="F128" s="1" t="s">
        <v>126</v>
      </c>
      <c r="G128" s="21" t="s">
        <v>587</v>
      </c>
      <c r="H128" s="1" t="str">
        <f t="shared" ca="1" si="61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58"/>
        <v>createMovieClip</v>
      </c>
      <c r="K128" s="1" t="str">
        <f t="shared" si="62"/>
        <v>Tower3_mc</v>
      </c>
      <c r="L128" s="1" t="str">
        <f t="shared" si="63"/>
        <v>Tower3_mc</v>
      </c>
      <c r="M128" s="1"/>
      <c r="N128" s="14" t="str">
        <f t="shared" ca="1" si="59"/>
        <v/>
      </c>
      <c r="O128" s="14" t="str">
        <f t="shared" ca="1" si="57"/>
        <v>Tower3_mc::Tower3_mc:MovieClip("tower/","Tower3_mc","Tower3_mc"{)</v>
      </c>
    </row>
    <row r="129" spans="1:15" x14ac:dyDescent="0.25">
      <c r="A129" s="54" t="s">
        <v>720</v>
      </c>
      <c r="B129" s="3" t="s">
        <v>156</v>
      </c>
      <c r="C129" s="1">
        <f t="shared" ca="1" si="60"/>
        <v>1</v>
      </c>
      <c r="D129" s="1" t="s">
        <v>78</v>
      </c>
      <c r="E129" s="1" t="s">
        <v>126</v>
      </c>
      <c r="F129" s="1" t="s">
        <v>126</v>
      </c>
      <c r="G129" s="1" t="s">
        <v>766</v>
      </c>
      <c r="H129" s="1" t="str">
        <f t="shared" ca="1" si="61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58"/>
        <v>createMovieClip</v>
      </c>
      <c r="K129" s="1" t="s">
        <v>768</v>
      </c>
      <c r="L129" s="1" t="str">
        <f t="shared" ref="L129:L130" si="71">B129</f>
        <v>blockTower</v>
      </c>
      <c r="M129" s="1"/>
      <c r="N129" s="14" t="str">
        <f t="shared" ca="1" si="59"/>
        <v>MovieClip * blockTower;</v>
      </c>
      <c r="O129" s="14" t="str">
        <f t="shared" ca="1" si="57"/>
        <v>blockTower= this-&gt;createMovieClip("blockTower","tower/","blockTower","TowerBlockBone");</v>
      </c>
    </row>
    <row r="130" spans="1:15" x14ac:dyDescent="0.25">
      <c r="A130" s="55"/>
      <c r="B130" s="3" t="s">
        <v>157</v>
      </c>
      <c r="C130" s="1">
        <f t="shared" ca="1" si="60"/>
        <v>1</v>
      </c>
      <c r="D130" s="1" t="s">
        <v>78</v>
      </c>
      <c r="E130" s="1" t="s">
        <v>126</v>
      </c>
      <c r="F130" s="1" t="s">
        <v>126</v>
      </c>
      <c r="G130" s="1" t="s">
        <v>766</v>
      </c>
      <c r="H130" s="1" t="str">
        <f t="shared" ca="1" si="61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58"/>
        <v>createMovieClip</v>
      </c>
      <c r="K130" s="1" t="s">
        <v>768</v>
      </c>
      <c r="L130" s="1" t="str">
        <f t="shared" si="71"/>
        <v>boneBlock</v>
      </c>
      <c r="M130" s="1"/>
      <c r="N130" s="14" t="str">
        <f t="shared" ca="1" si="59"/>
        <v>MovieClip * boneBlock;</v>
      </c>
      <c r="O130" s="14" t="str">
        <f t="shared" ref="O130:O193" ca="1" si="72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boneBlock= this-&gt;createMovieClip("boneBlock","tower/","boneBlock","TowerBlockBone");</v>
      </c>
    </row>
    <row r="131" spans="1:15" x14ac:dyDescent="0.25">
      <c r="A131" s="11"/>
      <c r="B131" s="3" t="s">
        <v>158</v>
      </c>
      <c r="C131" s="1">
        <f t="shared" ca="1" si="60"/>
        <v>1</v>
      </c>
      <c r="D131" s="1" t="s">
        <v>78</v>
      </c>
      <c r="E131" s="1" t="s">
        <v>126</v>
      </c>
      <c r="F131" s="1" t="s">
        <v>126</v>
      </c>
      <c r="G131" s="1" t="s">
        <v>586</v>
      </c>
      <c r="H131" s="1" t="str">
        <f t="shared" ca="1" si="61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58"/>
        <v>createMovieClipSub</v>
      </c>
      <c r="K131" s="1" t="str">
        <f t="shared" si="62"/>
        <v>selectTower</v>
      </c>
      <c r="L131" s="1" t="str">
        <f t="shared" si="63"/>
        <v>selectTower</v>
      </c>
      <c r="M131" s="1"/>
      <c r="N131" s="14" t="str">
        <f t="shared" ca="1" si="59"/>
        <v>MovieClipSub * selectTower;</v>
      </c>
      <c r="O131" s="14" t="str">
        <f t="shared" ca="1" si="72"/>
        <v>selectTower= this-&gt;createMovieClipSub("selectTower");</v>
      </c>
    </row>
    <row r="132" spans="1:15" x14ac:dyDescent="0.25">
      <c r="A132" s="11"/>
      <c r="B132" s="3" t="s">
        <v>159</v>
      </c>
      <c r="C132" s="1">
        <f t="shared" ca="1" si="60"/>
        <v>1</v>
      </c>
      <c r="D132" s="1" t="s">
        <v>78</v>
      </c>
      <c r="E132" s="1" t="s">
        <v>126</v>
      </c>
      <c r="F132" s="1" t="s">
        <v>126</v>
      </c>
      <c r="G132" s="1" t="s">
        <v>669</v>
      </c>
      <c r="H132" s="1" t="str">
        <f t="shared" ca="1" si="61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58"/>
        <v>createCase</v>
      </c>
      <c r="K132" s="1" t="str">
        <f t="shared" si="62"/>
        <v>towerCase</v>
      </c>
      <c r="L132" s="1" t="str">
        <f t="shared" si="63"/>
        <v>towerCase</v>
      </c>
      <c r="M132" s="1"/>
      <c r="N132" s="14" t="str">
        <f t="shared" ca="1" si="59"/>
        <v>MCCase * towerCase;</v>
      </c>
      <c r="O132" s="14" t="str">
        <f t="shared" ca="1" si="72"/>
        <v>towerCase= this-&gt;createCase("towerCase");</v>
      </c>
    </row>
    <row r="133" spans="1:15" x14ac:dyDescent="0.25">
      <c r="A133" s="11"/>
      <c r="B133" s="3" t="s">
        <v>108</v>
      </c>
      <c r="C133" s="1">
        <f t="shared" ca="1" si="60"/>
        <v>1</v>
      </c>
      <c r="D133" s="1" t="s">
        <v>78</v>
      </c>
      <c r="E133" s="1" t="s">
        <v>126</v>
      </c>
      <c r="F133" s="1" t="s">
        <v>126</v>
      </c>
      <c r="G133" s="1" t="s">
        <v>586</v>
      </c>
      <c r="H133" s="1" t="str">
        <f t="shared" ca="1" si="61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58"/>
        <v>createMovieClipSub</v>
      </c>
      <c r="K133" s="1" t="str">
        <f t="shared" si="62"/>
        <v>sphere1</v>
      </c>
      <c r="L133" s="1" t="str">
        <f t="shared" si="63"/>
        <v>sphere1</v>
      </c>
      <c r="M133" s="1"/>
      <c r="N133" s="14" t="str">
        <f t="shared" ca="1" si="59"/>
        <v>MovieClipSub * sphere1;</v>
      </c>
      <c r="O133" s="14" t="str">
        <f t="shared" ca="1" si="72"/>
        <v>sphere1= this-&gt;createMovieClipSub("sphere1");</v>
      </c>
    </row>
    <row r="134" spans="1:15" x14ac:dyDescent="0.25">
      <c r="A134" s="11" t="s">
        <v>717</v>
      </c>
      <c r="B134" s="4" t="s">
        <v>204</v>
      </c>
      <c r="C134" s="1">
        <f t="shared" ca="1" si="60"/>
        <v>2</v>
      </c>
      <c r="D134" s="1" t="s">
        <v>78</v>
      </c>
      <c r="E134" s="1" t="s">
        <v>126</v>
      </c>
      <c r="F134" s="1" t="s">
        <v>126</v>
      </c>
      <c r="G134" s="1" t="s">
        <v>766</v>
      </c>
      <c r="H134" s="1" t="str">
        <f t="shared" ca="1" si="61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58"/>
        <v>createMovieClip</v>
      </c>
      <c r="K134" s="1" t="s">
        <v>703</v>
      </c>
      <c r="L134" s="1" t="str">
        <f t="shared" si="63"/>
        <v>bullet</v>
      </c>
      <c r="M134" s="1" t="s">
        <v>771</v>
      </c>
      <c r="N134" s="14" t="str">
        <f t="shared" ca="1" si="59"/>
        <v>MovieClip * sphere1Bullet;</v>
      </c>
      <c r="O134" s="14" t="str">
        <f t="shared" ca="1" si="72"/>
        <v>sphere1Bullet= (BulletSphereTower_mc*)sphere1-&gt;createMovieClip("bullet",new BulletSphereTower_mc());</v>
      </c>
    </row>
    <row r="135" spans="1:15" x14ac:dyDescent="0.25">
      <c r="A135" s="11"/>
      <c r="B135" s="5" t="s">
        <v>80</v>
      </c>
      <c r="C135" s="1">
        <f t="shared" ca="1" si="60"/>
        <v>3</v>
      </c>
      <c r="D135" s="1" t="s">
        <v>78</v>
      </c>
      <c r="E135" s="1" t="s">
        <v>126</v>
      </c>
      <c r="F135" s="1" t="s">
        <v>126</v>
      </c>
      <c r="G135" s="1" t="s">
        <v>586</v>
      </c>
      <c r="H135" s="1" t="str">
        <f t="shared" ca="1" si="61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58"/>
        <v>createMovieClipSub</v>
      </c>
      <c r="K135" s="1" t="str">
        <f t="shared" si="62"/>
        <v>cont</v>
      </c>
      <c r="L135" s="1" t="str">
        <f t="shared" si="63"/>
        <v>cont</v>
      </c>
      <c r="M135" s="1"/>
      <c r="N135" s="14" t="str">
        <f t="shared" ca="1" si="59"/>
        <v>MovieClipSub * sphere1BulletCont;</v>
      </c>
      <c r="O135" s="14" t="str">
        <f t="shared" ca="1" si="72"/>
        <v>sphere1BulletCont= sphere1Bullet-&gt;createMovieClipSub("cont");</v>
      </c>
    </row>
    <row r="136" spans="1:15" x14ac:dyDescent="0.25">
      <c r="A136" s="11"/>
      <c r="B136" s="3" t="s">
        <v>162</v>
      </c>
      <c r="C136" s="1">
        <f t="shared" ca="1" si="60"/>
        <v>1</v>
      </c>
      <c r="D136" s="1" t="s">
        <v>78</v>
      </c>
      <c r="E136" s="1" t="s">
        <v>126</v>
      </c>
      <c r="F136" s="1" t="s">
        <v>126</v>
      </c>
      <c r="G136" s="1" t="s">
        <v>586</v>
      </c>
      <c r="H136" s="1" t="str">
        <f t="shared" ca="1" si="61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58"/>
        <v>createMovieClipSub</v>
      </c>
      <c r="K136" s="1" t="str">
        <f t="shared" si="62"/>
        <v>sphere2_1</v>
      </c>
      <c r="L136" s="1" t="str">
        <f t="shared" si="63"/>
        <v>sphere2_1</v>
      </c>
      <c r="M136" s="1"/>
      <c r="N136" s="14" t="str">
        <f t="shared" ca="1" si="59"/>
        <v>MovieClipSub * sphere2_1;</v>
      </c>
      <c r="O136" s="14" t="str">
        <f t="shared" ca="1" si="72"/>
        <v>sphere2_1= this-&gt;createMovieClipSub("sphere2_1");</v>
      </c>
    </row>
    <row r="137" spans="1:15" x14ac:dyDescent="0.25">
      <c r="A137" s="11" t="s">
        <v>717</v>
      </c>
      <c r="B137" s="4" t="s">
        <v>204</v>
      </c>
      <c r="C137" s="1">
        <f t="shared" ca="1" si="60"/>
        <v>2</v>
      </c>
      <c r="D137" s="1" t="s">
        <v>78</v>
      </c>
      <c r="E137" s="1" t="s">
        <v>126</v>
      </c>
      <c r="F137" s="1" t="s">
        <v>126</v>
      </c>
      <c r="G137" s="1" t="s">
        <v>766</v>
      </c>
      <c r="H137" s="1" t="str">
        <f t="shared" ca="1" si="61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58"/>
        <v>createMovieClip</v>
      </c>
      <c r="K137" s="1" t="s">
        <v>703</v>
      </c>
      <c r="L137" s="1" t="str">
        <f t="shared" si="63"/>
        <v>bullet</v>
      </c>
      <c r="M137" s="1" t="s">
        <v>771</v>
      </c>
      <c r="N137" s="14" t="str">
        <f t="shared" ca="1" si="59"/>
        <v>MovieClip * sphere2_1Bullet;</v>
      </c>
      <c r="O137" s="14" t="str">
        <f t="shared" ca="1" si="72"/>
        <v>sphere2_1Bullet= (BulletSphereTower_mc*)sphere2_1-&gt;createMovieClip("bullet",new BulletSphereTower_mc());</v>
      </c>
    </row>
    <row r="138" spans="1:15" x14ac:dyDescent="0.25">
      <c r="A138" s="11"/>
      <c r="B138" s="5" t="s">
        <v>80</v>
      </c>
      <c r="C138" s="1">
        <f t="shared" ca="1" si="60"/>
        <v>3</v>
      </c>
      <c r="D138" s="1" t="s">
        <v>78</v>
      </c>
      <c r="E138" s="1" t="s">
        <v>126</v>
      </c>
      <c r="F138" s="1" t="s">
        <v>126</v>
      </c>
      <c r="G138" s="1" t="s">
        <v>586</v>
      </c>
      <c r="H138" s="1" t="str">
        <f t="shared" ca="1" si="61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58"/>
        <v>createMovieClipSub</v>
      </c>
      <c r="K138" s="1" t="str">
        <f t="shared" si="62"/>
        <v>cont</v>
      </c>
      <c r="L138" s="1" t="str">
        <f t="shared" si="63"/>
        <v>cont</v>
      </c>
      <c r="M138" s="1"/>
      <c r="N138" s="14" t="str">
        <f t="shared" ca="1" si="59"/>
        <v>MovieClipSub * sphere2_1BulletCont;</v>
      </c>
      <c r="O138" s="14" t="str">
        <f t="shared" ca="1" si="72"/>
        <v>sphere2_1BulletCont= sphere2_1Bullet-&gt;createMovieClipSub("cont");</v>
      </c>
    </row>
    <row r="139" spans="1:15" x14ac:dyDescent="0.25">
      <c r="A139" s="11"/>
      <c r="B139" s="3" t="s">
        <v>163</v>
      </c>
      <c r="C139" s="1">
        <f t="shared" ca="1" si="60"/>
        <v>1</v>
      </c>
      <c r="D139" s="1" t="s">
        <v>78</v>
      </c>
      <c r="E139" s="1" t="s">
        <v>126</v>
      </c>
      <c r="F139" s="1" t="s">
        <v>126</v>
      </c>
      <c r="G139" s="1" t="s">
        <v>586</v>
      </c>
      <c r="H139" s="1" t="str">
        <f t="shared" ca="1" si="61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58"/>
        <v>createMovieClipSub</v>
      </c>
      <c r="K139" s="1" t="str">
        <f t="shared" si="62"/>
        <v>sphere2_2</v>
      </c>
      <c r="L139" s="1" t="str">
        <f t="shared" si="63"/>
        <v>sphere2_2</v>
      </c>
      <c r="M139" s="1"/>
      <c r="N139" s="14" t="str">
        <f t="shared" ca="1" si="59"/>
        <v>MovieClipSub * sphere2_2;</v>
      </c>
      <c r="O139" s="14" t="str">
        <f t="shared" ca="1" si="72"/>
        <v>sphere2_2= this-&gt;createMovieClipSub("sphere2_2");</v>
      </c>
    </row>
    <row r="140" spans="1:15" x14ac:dyDescent="0.25">
      <c r="A140" s="11" t="s">
        <v>717</v>
      </c>
      <c r="B140" s="4" t="s">
        <v>204</v>
      </c>
      <c r="C140" s="1">
        <f t="shared" ca="1" si="60"/>
        <v>2</v>
      </c>
      <c r="D140" s="1" t="s">
        <v>78</v>
      </c>
      <c r="E140" s="1" t="s">
        <v>126</v>
      </c>
      <c r="F140" s="1" t="s">
        <v>126</v>
      </c>
      <c r="G140" s="1" t="s">
        <v>766</v>
      </c>
      <c r="H140" s="1" t="str">
        <f t="shared" ca="1" si="61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3">CONCATENATE("create",IF(LEFT(G140,2)="MC",MID(G140,3,LEN(G140)),G140))</f>
        <v>createMovieClip</v>
      </c>
      <c r="K140" s="1" t="s">
        <v>703</v>
      </c>
      <c r="L140" s="1" t="str">
        <f t="shared" si="63"/>
        <v>bullet</v>
      </c>
      <c r="M140" s="1" t="s">
        <v>771</v>
      </c>
      <c r="N140" s="14" t="str">
        <f t="shared" ref="N140:N203" ca="1" si="74">IF(C140&gt;0,G140 &amp; " * "&amp;H140 &amp;";","")</f>
        <v>MovieClip * sphere2_2Bullet;</v>
      </c>
      <c r="O140" s="14" t="str">
        <f t="shared" ca="1" si="72"/>
        <v>sphere2_2Bullet= (BulletSphereTower_mc*)sphere2_2-&gt;createMovieClip("bullet",new BulletSphereTower_mc());</v>
      </c>
    </row>
    <row r="141" spans="1:15" x14ac:dyDescent="0.25">
      <c r="A141" s="11"/>
      <c r="B141" s="5" t="s">
        <v>80</v>
      </c>
      <c r="C141" s="1">
        <f t="shared" ca="1" si="60"/>
        <v>3</v>
      </c>
      <c r="D141" s="1" t="s">
        <v>78</v>
      </c>
      <c r="E141" s="1" t="s">
        <v>126</v>
      </c>
      <c r="F141" s="1" t="s">
        <v>126</v>
      </c>
      <c r="G141" s="1" t="s">
        <v>586</v>
      </c>
      <c r="H141" s="1" t="str">
        <f t="shared" ca="1" si="61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3"/>
        <v>createMovieClipSub</v>
      </c>
      <c r="K141" s="1" t="str">
        <f t="shared" si="62"/>
        <v>cont</v>
      </c>
      <c r="L141" s="1" t="str">
        <f t="shared" si="63"/>
        <v>cont</v>
      </c>
      <c r="M141" s="1"/>
      <c r="N141" s="14" t="str">
        <f t="shared" ca="1" si="74"/>
        <v>MovieClipSub * sphere2_2BulletCont;</v>
      </c>
      <c r="O141" s="14" t="str">
        <f t="shared" ca="1" si="72"/>
        <v>sphere2_2BulletCont= sphere2_2Bullet-&gt;createMovieClipSub("cont");</v>
      </c>
    </row>
    <row r="142" spans="1:15" x14ac:dyDescent="0.25">
      <c r="A142" s="11"/>
      <c r="B142" s="3" t="s">
        <v>166</v>
      </c>
      <c r="C142" s="1">
        <f t="shared" ca="1" si="60"/>
        <v>1</v>
      </c>
      <c r="D142" s="1" t="s">
        <v>78</v>
      </c>
      <c r="E142" s="1" t="s">
        <v>126</v>
      </c>
      <c r="F142" s="1" t="s">
        <v>126</v>
      </c>
      <c r="G142" s="1" t="s">
        <v>586</v>
      </c>
      <c r="H142" s="1" t="str">
        <f t="shared" ca="1" si="61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3"/>
        <v>createMovieClipSub</v>
      </c>
      <c r="K142" s="1" t="str">
        <f t="shared" si="62"/>
        <v>sphere3_1</v>
      </c>
      <c r="L142" s="1" t="str">
        <f t="shared" si="63"/>
        <v>sphere3_1</v>
      </c>
      <c r="M142" s="1"/>
      <c r="N142" s="14" t="str">
        <f t="shared" ca="1" si="74"/>
        <v>MovieClipSub * sphere3_1;</v>
      </c>
      <c r="O142" s="14" t="str">
        <f t="shared" ca="1" si="72"/>
        <v>sphere3_1= this-&gt;createMovieClipSub("sphere3_1");</v>
      </c>
    </row>
    <row r="143" spans="1:15" x14ac:dyDescent="0.25">
      <c r="A143" s="11" t="s">
        <v>717</v>
      </c>
      <c r="B143" s="4" t="s">
        <v>204</v>
      </c>
      <c r="C143" s="1">
        <f t="shared" ca="1" si="60"/>
        <v>2</v>
      </c>
      <c r="D143" s="1" t="s">
        <v>78</v>
      </c>
      <c r="E143" s="1" t="s">
        <v>126</v>
      </c>
      <c r="F143" s="1" t="s">
        <v>126</v>
      </c>
      <c r="G143" s="1" t="s">
        <v>766</v>
      </c>
      <c r="H143" s="1" t="str">
        <f t="shared" ca="1" si="61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3"/>
        <v>createMovieClip</v>
      </c>
      <c r="K143" s="1" t="s">
        <v>703</v>
      </c>
      <c r="L143" s="1" t="str">
        <f t="shared" si="63"/>
        <v>bullet</v>
      </c>
      <c r="M143" s="1" t="s">
        <v>771</v>
      </c>
      <c r="N143" s="14" t="str">
        <f t="shared" ca="1" si="74"/>
        <v>MovieClip * sphere3_1Bullet;</v>
      </c>
      <c r="O143" s="14" t="str">
        <f t="shared" ca="1" si="72"/>
        <v>sphere3_1Bullet= (BulletSphereTower_mc*)sphere3_1-&gt;createMovieClip("bullet",new BulletSphereTower_mc());</v>
      </c>
    </row>
    <row r="144" spans="1:15" x14ac:dyDescent="0.25">
      <c r="A144" s="11"/>
      <c r="B144" s="5" t="s">
        <v>80</v>
      </c>
      <c r="C144" s="1">
        <f t="shared" ca="1" si="60"/>
        <v>3</v>
      </c>
      <c r="D144" s="1" t="s">
        <v>78</v>
      </c>
      <c r="E144" s="1" t="s">
        <v>126</v>
      </c>
      <c r="F144" s="1" t="s">
        <v>126</v>
      </c>
      <c r="G144" s="1" t="s">
        <v>586</v>
      </c>
      <c r="H144" s="1" t="str">
        <f t="shared" ca="1" si="61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3"/>
        <v>createMovieClipSub</v>
      </c>
      <c r="K144" s="1" t="str">
        <f t="shared" si="62"/>
        <v>cont</v>
      </c>
      <c r="L144" s="1" t="str">
        <f t="shared" si="63"/>
        <v>cont</v>
      </c>
      <c r="M144" s="1"/>
      <c r="N144" s="14" t="str">
        <f t="shared" ca="1" si="74"/>
        <v>MovieClipSub * sphere3_1BulletCont;</v>
      </c>
      <c r="O144" s="14" t="str">
        <f t="shared" ca="1" si="72"/>
        <v>sphere3_1BulletCont= sphere3_1Bullet-&gt;createMovieClipSub("cont");</v>
      </c>
    </row>
    <row r="145" spans="1:15" x14ac:dyDescent="0.25">
      <c r="A145" s="11"/>
      <c r="B145" s="3" t="s">
        <v>167</v>
      </c>
      <c r="C145" s="1">
        <f t="shared" ca="1" si="60"/>
        <v>1</v>
      </c>
      <c r="D145" s="1" t="s">
        <v>78</v>
      </c>
      <c r="E145" s="1" t="s">
        <v>126</v>
      </c>
      <c r="F145" s="1" t="s">
        <v>126</v>
      </c>
      <c r="G145" s="1" t="s">
        <v>586</v>
      </c>
      <c r="H145" s="1" t="str">
        <f t="shared" ca="1" si="61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3"/>
        <v>createMovieClipSub</v>
      </c>
      <c r="K145" s="1" t="str">
        <f t="shared" si="62"/>
        <v>sphere3_2</v>
      </c>
      <c r="L145" s="1" t="str">
        <f t="shared" si="63"/>
        <v>sphere3_2</v>
      </c>
      <c r="M145" s="1"/>
      <c r="N145" s="14" t="str">
        <f t="shared" ca="1" si="74"/>
        <v>MovieClipSub * sphere3_2;</v>
      </c>
      <c r="O145" s="14" t="str">
        <f t="shared" ca="1" si="72"/>
        <v>sphere3_2= this-&gt;createMovieClipSub("sphere3_2");</v>
      </c>
    </row>
    <row r="146" spans="1:15" x14ac:dyDescent="0.25">
      <c r="A146" s="11" t="s">
        <v>693</v>
      </c>
      <c r="B146" s="4" t="s">
        <v>204</v>
      </c>
      <c r="C146" s="1">
        <f t="shared" ca="1" si="60"/>
        <v>2</v>
      </c>
      <c r="D146" s="1" t="s">
        <v>78</v>
      </c>
      <c r="E146" s="1" t="s">
        <v>126</v>
      </c>
      <c r="F146" s="1" t="s">
        <v>126</v>
      </c>
      <c r="G146" s="1" t="s">
        <v>766</v>
      </c>
      <c r="H146" s="1" t="str">
        <f t="shared" ca="1" si="61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3"/>
        <v>createMovieClip</v>
      </c>
      <c r="K146" s="1" t="s">
        <v>703</v>
      </c>
      <c r="L146" s="1" t="str">
        <f t="shared" si="63"/>
        <v>bullet</v>
      </c>
      <c r="M146" s="1" t="s">
        <v>771</v>
      </c>
      <c r="N146" s="14" t="str">
        <f t="shared" ca="1" si="74"/>
        <v>MovieClip * sphere3_2Bullet;</v>
      </c>
      <c r="O146" s="14" t="str">
        <f t="shared" ca="1" si="72"/>
        <v>sphere3_2Bullet= (BulletSphereTower_mc*)sphere3_2-&gt;createMovieClip("bullet",new BulletSphereTower_mc());</v>
      </c>
    </row>
    <row r="147" spans="1:15" x14ac:dyDescent="0.25">
      <c r="A147" s="11"/>
      <c r="B147" s="5" t="s">
        <v>80</v>
      </c>
      <c r="C147" s="1">
        <f t="shared" ca="1" si="60"/>
        <v>3</v>
      </c>
      <c r="D147" s="1" t="s">
        <v>78</v>
      </c>
      <c r="E147" s="1" t="s">
        <v>126</v>
      </c>
      <c r="F147" s="1" t="s">
        <v>126</v>
      </c>
      <c r="G147" s="1" t="s">
        <v>586</v>
      </c>
      <c r="H147" s="1" t="str">
        <f t="shared" ca="1" si="61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3"/>
        <v>createMovieClipSub</v>
      </c>
      <c r="K147" s="1" t="str">
        <f t="shared" si="62"/>
        <v>cont</v>
      </c>
      <c r="L147" s="1" t="str">
        <f t="shared" si="63"/>
        <v>cont</v>
      </c>
      <c r="M147" s="1"/>
      <c r="N147" s="14" t="str">
        <f t="shared" ca="1" si="74"/>
        <v>MovieClipSub * sphere3_2BulletCont;</v>
      </c>
      <c r="O147" s="14" t="str">
        <f t="shared" ca="1" si="72"/>
        <v>sphere3_2BulletCont= sphere3_2Bullet-&gt;createMovieClipSub("cont");</v>
      </c>
    </row>
    <row r="148" spans="1:15" x14ac:dyDescent="0.25">
      <c r="A148" s="11"/>
      <c r="B148" s="3" t="s">
        <v>168</v>
      </c>
      <c r="C148" s="1">
        <f t="shared" ca="1" si="60"/>
        <v>1</v>
      </c>
      <c r="D148" s="1" t="s">
        <v>78</v>
      </c>
      <c r="E148" s="1" t="s">
        <v>126</v>
      </c>
      <c r="F148" s="1" t="s">
        <v>126</v>
      </c>
      <c r="G148" s="1" t="s">
        <v>586</v>
      </c>
      <c r="H148" s="1" t="str">
        <f t="shared" ca="1" si="61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3"/>
        <v>createMovieClipSub</v>
      </c>
      <c r="K148" s="1" t="str">
        <f t="shared" si="62"/>
        <v>sphere3_3</v>
      </c>
      <c r="L148" s="1" t="str">
        <f t="shared" si="63"/>
        <v>sphere3_3</v>
      </c>
      <c r="M148" s="1"/>
      <c r="N148" s="14" t="str">
        <f t="shared" ca="1" si="74"/>
        <v>MovieClipSub * sphere3_3;</v>
      </c>
      <c r="O148" s="14" t="str">
        <f t="shared" ca="1" si="72"/>
        <v>sphere3_3= this-&gt;createMovieClipSub("sphere3_3");</v>
      </c>
    </row>
    <row r="149" spans="1:15" x14ac:dyDescent="0.25">
      <c r="A149" s="11" t="s">
        <v>717</v>
      </c>
      <c r="B149" s="4" t="s">
        <v>204</v>
      </c>
      <c r="C149" s="1">
        <f t="shared" ca="1" si="60"/>
        <v>2</v>
      </c>
      <c r="D149" s="1" t="s">
        <v>78</v>
      </c>
      <c r="E149" s="1" t="s">
        <v>126</v>
      </c>
      <c r="F149" s="1" t="s">
        <v>126</v>
      </c>
      <c r="G149" s="1" t="s">
        <v>766</v>
      </c>
      <c r="H149" s="1" t="str">
        <f t="shared" ca="1" si="61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3"/>
        <v>createMovieClip</v>
      </c>
      <c r="K149" s="1" t="s">
        <v>703</v>
      </c>
      <c r="L149" s="1" t="str">
        <f t="shared" si="63"/>
        <v>bullet</v>
      </c>
      <c r="M149" s="1" t="s">
        <v>771</v>
      </c>
      <c r="N149" s="14" t="str">
        <f t="shared" ca="1" si="74"/>
        <v>MovieClip * sphere3_3Bullet;</v>
      </c>
      <c r="O149" s="14" t="str">
        <f t="shared" ca="1" si="72"/>
        <v>sphere3_3Bullet= (BulletSphereTower_mc*)sphere3_3-&gt;createMovieClip("bullet",new BulletSphereTower_mc());</v>
      </c>
    </row>
    <row r="150" spans="1:15" x14ac:dyDescent="0.25">
      <c r="A150" s="11"/>
      <c r="B150" s="5" t="s">
        <v>80</v>
      </c>
      <c r="C150" s="1">
        <f t="shared" ca="1" si="60"/>
        <v>3</v>
      </c>
      <c r="D150" s="1" t="s">
        <v>78</v>
      </c>
      <c r="E150" s="1" t="s">
        <v>126</v>
      </c>
      <c r="F150" s="1" t="s">
        <v>126</v>
      </c>
      <c r="G150" s="1" t="s">
        <v>586</v>
      </c>
      <c r="H150" s="1" t="str">
        <f t="shared" ca="1" si="61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3"/>
        <v>createMovieClipSub</v>
      </c>
      <c r="K150" s="1" t="str">
        <f t="shared" si="62"/>
        <v>cont</v>
      </c>
      <c r="L150" s="1" t="str">
        <f t="shared" si="63"/>
        <v>cont</v>
      </c>
      <c r="M150" s="1"/>
      <c r="N150" s="14" t="str">
        <f t="shared" ca="1" si="74"/>
        <v>MovieClipSub * sphere3_3BulletCont;</v>
      </c>
      <c r="O150" s="14" t="str">
        <f t="shared" ca="1" si="72"/>
        <v>sphere3_3BulletCont= sphere3_3Bullet-&gt;createMovieClipSub("cont");</v>
      </c>
    </row>
    <row r="151" spans="1:15" x14ac:dyDescent="0.25">
      <c r="A151" s="1" t="s">
        <v>169</v>
      </c>
      <c r="B151" s="29" t="s">
        <v>170</v>
      </c>
      <c r="C151" s="1">
        <f t="shared" ca="1" si="60"/>
        <v>0</v>
      </c>
      <c r="D151" s="1" t="s">
        <v>78</v>
      </c>
      <c r="E151" s="1" t="s">
        <v>749</v>
      </c>
      <c r="F151" s="1" t="s">
        <v>126</v>
      </c>
      <c r="G151" s="21" t="s">
        <v>587</v>
      </c>
      <c r="H151" s="1" t="str">
        <f t="shared" ca="1" si="61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3"/>
        <v>createMovieClip</v>
      </c>
      <c r="K151" s="1" t="str">
        <f t="shared" si="62"/>
        <v>Tower4_mc</v>
      </c>
      <c r="L151" s="1" t="str">
        <f t="shared" si="63"/>
        <v>Tower4_mc</v>
      </c>
      <c r="M151" s="1"/>
      <c r="N151" s="14" t="str">
        <f t="shared" ca="1" si="74"/>
        <v/>
      </c>
      <c r="O151" s="14" t="str">
        <f t="shared" ca="1" si="72"/>
        <v>Tower4_mc::Tower4_mc:MovieClip("tower/","Tower4_mc","Tower4_mc"{)</v>
      </c>
    </row>
    <row r="152" spans="1:15" x14ac:dyDescent="0.25">
      <c r="A152" s="1"/>
      <c r="B152" s="3" t="s">
        <v>156</v>
      </c>
      <c r="C152" s="1">
        <f t="shared" ref="C152:C215" ca="1" si="75">indent(B152)</f>
        <v>1</v>
      </c>
      <c r="D152" s="1" t="s">
        <v>78</v>
      </c>
      <c r="E152" s="1" t="s">
        <v>749</v>
      </c>
      <c r="F152" s="1" t="s">
        <v>126</v>
      </c>
      <c r="G152" s="1" t="s">
        <v>766</v>
      </c>
      <c r="H152" s="1" t="str">
        <f t="shared" ca="1" si="61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3"/>
        <v>createMovieClip</v>
      </c>
      <c r="K152" s="1" t="s">
        <v>768</v>
      </c>
      <c r="L152" s="1" t="str">
        <f t="shared" ref="L152:L153" si="76">B152</f>
        <v>blockTower</v>
      </c>
      <c r="M152" s="1"/>
      <c r="N152" s="14" t="str">
        <f t="shared" ca="1" si="74"/>
        <v>MovieClip * blockTower;</v>
      </c>
      <c r="O152" s="14" t="str">
        <f t="shared" ca="1" si="72"/>
        <v>blockTower= this-&gt;createMovieClip("blockTower","tower/","blockTower","TowerBlockBone");</v>
      </c>
    </row>
    <row r="153" spans="1:15" x14ac:dyDescent="0.25">
      <c r="A153" s="1"/>
      <c r="B153" s="3" t="s">
        <v>157</v>
      </c>
      <c r="C153" s="1">
        <f t="shared" ca="1" si="75"/>
        <v>1</v>
      </c>
      <c r="D153" s="1" t="s">
        <v>78</v>
      </c>
      <c r="E153" s="1" t="s">
        <v>749</v>
      </c>
      <c r="F153" s="1" t="s">
        <v>126</v>
      </c>
      <c r="G153" s="1" t="s">
        <v>766</v>
      </c>
      <c r="H153" s="1" t="str">
        <f t="shared" ref="H153:H216" ca="1" si="77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3"/>
        <v>createMovieClip</v>
      </c>
      <c r="K153" s="1" t="s">
        <v>768</v>
      </c>
      <c r="L153" s="1" t="str">
        <f t="shared" si="76"/>
        <v>boneBlock</v>
      </c>
      <c r="M153" s="1"/>
      <c r="N153" s="14" t="str">
        <f t="shared" ca="1" si="74"/>
        <v>MovieClip * boneBlock;</v>
      </c>
      <c r="O153" s="14" t="str">
        <f t="shared" ca="1" si="72"/>
        <v>boneBlock= this-&gt;createMovieClip("boneBlock","tower/","boneBlock","TowerBlockBone");</v>
      </c>
    </row>
    <row r="154" spans="1:15" x14ac:dyDescent="0.25">
      <c r="A154" s="1"/>
      <c r="B154" s="3" t="s">
        <v>158</v>
      </c>
      <c r="C154" s="1">
        <f t="shared" ca="1" si="75"/>
        <v>1</v>
      </c>
      <c r="D154" s="1" t="s">
        <v>78</v>
      </c>
      <c r="E154" s="1" t="s">
        <v>749</v>
      </c>
      <c r="F154" s="1" t="s">
        <v>126</v>
      </c>
      <c r="G154" s="1" t="s">
        <v>586</v>
      </c>
      <c r="H154" s="1" t="str">
        <f t="shared" ca="1" si="77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3"/>
        <v>createMovieClipSub</v>
      </c>
      <c r="K154" s="1" t="str">
        <f t="shared" ref="K153:K208" si="78">B154</f>
        <v>selectTower</v>
      </c>
      <c r="L154" s="1" t="str">
        <f t="shared" ref="L153:L208" si="79">B154</f>
        <v>selectTower</v>
      </c>
      <c r="M154" s="1"/>
      <c r="N154" s="14" t="str">
        <f t="shared" ca="1" si="74"/>
        <v>MovieClipSub * selectTower;</v>
      </c>
      <c r="O154" s="14" t="str">
        <f t="shared" ca="1" si="72"/>
        <v>selectTower= this-&gt;createMovieClipSub("selectTower");</v>
      </c>
    </row>
    <row r="155" spans="1:15" x14ac:dyDescent="0.25">
      <c r="A155" s="1"/>
      <c r="B155" s="3" t="s">
        <v>159</v>
      </c>
      <c r="C155" s="1">
        <f t="shared" ca="1" si="75"/>
        <v>1</v>
      </c>
      <c r="D155" s="1" t="s">
        <v>78</v>
      </c>
      <c r="E155" s="1" t="s">
        <v>749</v>
      </c>
      <c r="F155" s="1" t="s">
        <v>126</v>
      </c>
      <c r="G155" s="1" t="s">
        <v>669</v>
      </c>
      <c r="H155" s="1" t="str">
        <f t="shared" ca="1" si="77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3"/>
        <v>createCase</v>
      </c>
      <c r="K155" s="1" t="str">
        <f t="shared" si="78"/>
        <v>towerCase</v>
      </c>
      <c r="L155" s="1" t="str">
        <f t="shared" si="79"/>
        <v>towerCase</v>
      </c>
      <c r="M155" s="1"/>
      <c r="N155" s="14" t="str">
        <f t="shared" ca="1" si="74"/>
        <v>MCCase * towerCase;</v>
      </c>
      <c r="O155" s="14" t="str">
        <f t="shared" ca="1" si="72"/>
        <v>towerCase= this-&gt;createCase("towerCase");</v>
      </c>
    </row>
    <row r="156" spans="1:15" x14ac:dyDescent="0.25">
      <c r="A156" s="1"/>
      <c r="B156" s="3" t="s">
        <v>108</v>
      </c>
      <c r="C156" s="1">
        <f t="shared" ca="1" si="75"/>
        <v>1</v>
      </c>
      <c r="D156" s="1" t="s">
        <v>78</v>
      </c>
      <c r="E156" s="1" t="s">
        <v>749</v>
      </c>
      <c r="F156" s="1" t="s">
        <v>126</v>
      </c>
      <c r="G156" s="1" t="s">
        <v>586</v>
      </c>
      <c r="H156" s="1" t="str">
        <f t="shared" ca="1" si="77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3"/>
        <v>createMovieClipSub</v>
      </c>
      <c r="K156" s="1" t="str">
        <f t="shared" si="78"/>
        <v>sphere1</v>
      </c>
      <c r="L156" s="1" t="str">
        <f t="shared" si="79"/>
        <v>sphere1</v>
      </c>
      <c r="M156" s="1"/>
      <c r="N156" s="14" t="str">
        <f t="shared" ca="1" si="74"/>
        <v>MovieClipSub * sphere1;</v>
      </c>
      <c r="O156" s="14" t="str">
        <f t="shared" ca="1" si="72"/>
        <v>sphere1= this-&gt;createMovieClipSub("sphere1");</v>
      </c>
    </row>
    <row r="157" spans="1:15" x14ac:dyDescent="0.25">
      <c r="A157" s="11" t="s">
        <v>693</v>
      </c>
      <c r="B157" s="4" t="s">
        <v>204</v>
      </c>
      <c r="C157" s="1">
        <f t="shared" ca="1" si="75"/>
        <v>2</v>
      </c>
      <c r="D157" s="1" t="s">
        <v>78</v>
      </c>
      <c r="E157" s="1" t="s">
        <v>749</v>
      </c>
      <c r="F157" s="1" t="s">
        <v>126</v>
      </c>
      <c r="G157" s="1" t="s">
        <v>766</v>
      </c>
      <c r="H157" s="1" t="str">
        <f t="shared" ca="1" si="77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3"/>
        <v>createMovieClip</v>
      </c>
      <c r="K157" s="1" t="s">
        <v>703</v>
      </c>
      <c r="L157" s="1" t="str">
        <f t="shared" si="79"/>
        <v>bullet</v>
      </c>
      <c r="M157" s="1" t="s">
        <v>771</v>
      </c>
      <c r="N157" s="14" t="str">
        <f t="shared" ca="1" si="74"/>
        <v>MovieClip * sphere1Bullet;</v>
      </c>
      <c r="O157" s="14" t="str">
        <f t="shared" ca="1" si="72"/>
        <v>sphere1Bullet= (BulletSphereTower_mc*)sphere1-&gt;createMovieClip("bullet",new BulletSphereTower_mc());</v>
      </c>
    </row>
    <row r="158" spans="1:15" x14ac:dyDescent="0.25">
      <c r="A158" s="1"/>
      <c r="B158" s="5" t="s">
        <v>80</v>
      </c>
      <c r="C158" s="1">
        <f t="shared" ca="1" si="75"/>
        <v>3</v>
      </c>
      <c r="D158" s="1" t="s">
        <v>78</v>
      </c>
      <c r="E158" s="1" t="s">
        <v>749</v>
      </c>
      <c r="F158" s="1" t="s">
        <v>126</v>
      </c>
      <c r="G158" s="1" t="s">
        <v>586</v>
      </c>
      <c r="H158" s="1" t="str">
        <f t="shared" ca="1" si="77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3"/>
        <v>createMovieClipSub</v>
      </c>
      <c r="K158" s="1" t="str">
        <f t="shared" si="78"/>
        <v>cont</v>
      </c>
      <c r="L158" s="1" t="str">
        <f t="shared" si="79"/>
        <v>cont</v>
      </c>
      <c r="M158" s="1"/>
      <c r="N158" s="14" t="str">
        <f t="shared" ca="1" si="74"/>
        <v>MovieClipSub * sphere1BulletCont;</v>
      </c>
      <c r="O158" s="14" t="str">
        <f t="shared" ca="1" si="72"/>
        <v>sphere1BulletCont= sphere1Bullet-&gt;createMovieClipSub("cont");</v>
      </c>
    </row>
    <row r="159" spans="1:15" x14ac:dyDescent="0.25">
      <c r="A159" s="1"/>
      <c r="B159" s="3" t="s">
        <v>162</v>
      </c>
      <c r="C159" s="1">
        <f t="shared" ca="1" si="75"/>
        <v>1</v>
      </c>
      <c r="D159" s="1" t="s">
        <v>78</v>
      </c>
      <c r="E159" s="1" t="s">
        <v>749</v>
      </c>
      <c r="F159" s="1" t="s">
        <v>126</v>
      </c>
      <c r="G159" s="1" t="s">
        <v>586</v>
      </c>
      <c r="H159" s="1" t="str">
        <f t="shared" ca="1" si="77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3"/>
        <v>createMovieClipSub</v>
      </c>
      <c r="K159" s="1" t="str">
        <f t="shared" si="78"/>
        <v>sphere2_1</v>
      </c>
      <c r="L159" s="1" t="str">
        <f t="shared" si="79"/>
        <v>sphere2_1</v>
      </c>
      <c r="M159" s="1"/>
      <c r="N159" s="14" t="str">
        <f t="shared" ca="1" si="74"/>
        <v>MovieClipSub * sphere2_1;</v>
      </c>
      <c r="O159" s="14" t="str">
        <f t="shared" ca="1" si="72"/>
        <v>sphere2_1= this-&gt;createMovieClipSub("sphere2_1");</v>
      </c>
    </row>
    <row r="160" spans="1:15" x14ac:dyDescent="0.25">
      <c r="A160" s="11" t="s">
        <v>693</v>
      </c>
      <c r="B160" s="4" t="s">
        <v>204</v>
      </c>
      <c r="C160" s="1">
        <f t="shared" ca="1" si="75"/>
        <v>2</v>
      </c>
      <c r="D160" s="1" t="s">
        <v>78</v>
      </c>
      <c r="E160" s="1" t="s">
        <v>749</v>
      </c>
      <c r="F160" s="1" t="s">
        <v>126</v>
      </c>
      <c r="G160" s="1" t="s">
        <v>766</v>
      </c>
      <c r="H160" s="1" t="str">
        <f t="shared" ca="1" si="77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3"/>
        <v>createMovieClip</v>
      </c>
      <c r="K160" s="1" t="s">
        <v>703</v>
      </c>
      <c r="L160" s="1" t="str">
        <f t="shared" si="79"/>
        <v>bullet</v>
      </c>
      <c r="M160" s="1" t="s">
        <v>771</v>
      </c>
      <c r="N160" s="14" t="str">
        <f t="shared" ca="1" si="74"/>
        <v>MovieClip * sphere2_1Bullet;</v>
      </c>
      <c r="O160" s="14" t="str">
        <f t="shared" ca="1" si="72"/>
        <v>sphere2_1Bullet= (BulletSphereTower_mc*)sphere2_1-&gt;createMovieClip("bullet",new BulletSphereTower_mc());</v>
      </c>
    </row>
    <row r="161" spans="1:15" x14ac:dyDescent="0.25">
      <c r="A161" s="1"/>
      <c r="B161" s="5" t="s">
        <v>80</v>
      </c>
      <c r="C161" s="1">
        <f t="shared" ca="1" si="75"/>
        <v>3</v>
      </c>
      <c r="D161" s="1" t="s">
        <v>78</v>
      </c>
      <c r="E161" s="1" t="s">
        <v>749</v>
      </c>
      <c r="F161" s="1" t="s">
        <v>126</v>
      </c>
      <c r="G161" s="1" t="s">
        <v>586</v>
      </c>
      <c r="H161" s="1" t="str">
        <f t="shared" ca="1" si="77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3"/>
        <v>createMovieClipSub</v>
      </c>
      <c r="K161" s="1" t="str">
        <f t="shared" si="78"/>
        <v>cont</v>
      </c>
      <c r="L161" s="1" t="str">
        <f t="shared" si="79"/>
        <v>cont</v>
      </c>
      <c r="M161" s="1"/>
      <c r="N161" s="14" t="str">
        <f t="shared" ca="1" si="74"/>
        <v>MovieClipSub * sphere2_1BulletCont;</v>
      </c>
      <c r="O161" s="14" t="str">
        <f t="shared" ca="1" si="72"/>
        <v>sphere2_1BulletCont= sphere2_1Bullet-&gt;createMovieClipSub("cont");</v>
      </c>
    </row>
    <row r="162" spans="1:15" x14ac:dyDescent="0.25">
      <c r="A162" s="1"/>
      <c r="B162" s="3" t="s">
        <v>163</v>
      </c>
      <c r="C162" s="1">
        <f t="shared" ca="1" si="75"/>
        <v>1</v>
      </c>
      <c r="D162" s="1" t="s">
        <v>78</v>
      </c>
      <c r="E162" s="1" t="s">
        <v>749</v>
      </c>
      <c r="F162" s="1" t="s">
        <v>126</v>
      </c>
      <c r="G162" s="1" t="s">
        <v>586</v>
      </c>
      <c r="H162" s="1" t="str">
        <f t="shared" ca="1" si="77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3"/>
        <v>createMovieClipSub</v>
      </c>
      <c r="K162" s="1" t="str">
        <f t="shared" si="78"/>
        <v>sphere2_2</v>
      </c>
      <c r="L162" s="1" t="str">
        <f t="shared" si="79"/>
        <v>sphere2_2</v>
      </c>
      <c r="M162" s="1"/>
      <c r="N162" s="14" t="str">
        <f t="shared" ca="1" si="74"/>
        <v>MovieClipSub * sphere2_2;</v>
      </c>
      <c r="O162" s="14" t="str">
        <f t="shared" ca="1" si="72"/>
        <v>sphere2_2= this-&gt;createMovieClipSub("sphere2_2");</v>
      </c>
    </row>
    <row r="163" spans="1:15" x14ac:dyDescent="0.25">
      <c r="A163" s="1"/>
      <c r="B163" s="4" t="s">
        <v>204</v>
      </c>
      <c r="C163" s="1">
        <f t="shared" ca="1" si="75"/>
        <v>2</v>
      </c>
      <c r="D163" s="1" t="s">
        <v>78</v>
      </c>
      <c r="E163" s="1" t="s">
        <v>749</v>
      </c>
      <c r="F163" s="1" t="s">
        <v>126</v>
      </c>
      <c r="G163" s="1" t="s">
        <v>766</v>
      </c>
      <c r="H163" s="1" t="str">
        <f t="shared" ca="1" si="77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3"/>
        <v>createMovieClip</v>
      </c>
      <c r="K163" s="1" t="s">
        <v>703</v>
      </c>
      <c r="L163" s="1" t="str">
        <f t="shared" si="79"/>
        <v>bullet</v>
      </c>
      <c r="M163" s="1" t="s">
        <v>771</v>
      </c>
      <c r="N163" s="14" t="str">
        <f t="shared" ca="1" si="74"/>
        <v>MovieClip * sphere2_2Bullet;</v>
      </c>
      <c r="O163" s="14" t="str">
        <f t="shared" ca="1" si="72"/>
        <v>sphere2_2Bullet= (BulletSphereTower_mc*)sphere2_2-&gt;createMovieClip("bullet",new BulletSphereTower_mc());</v>
      </c>
    </row>
    <row r="164" spans="1:15" x14ac:dyDescent="0.25">
      <c r="A164" s="1"/>
      <c r="B164" s="5" t="s">
        <v>80</v>
      </c>
      <c r="C164" s="1">
        <f t="shared" ca="1" si="75"/>
        <v>3</v>
      </c>
      <c r="D164" s="1" t="s">
        <v>78</v>
      </c>
      <c r="E164" s="1" t="s">
        <v>749</v>
      </c>
      <c r="F164" s="1" t="s">
        <v>126</v>
      </c>
      <c r="G164" s="1" t="s">
        <v>586</v>
      </c>
      <c r="H164" s="1" t="str">
        <f t="shared" ca="1" si="77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3"/>
        <v>createMovieClipSub</v>
      </c>
      <c r="K164" s="1" t="str">
        <f t="shared" si="78"/>
        <v>cont</v>
      </c>
      <c r="L164" s="1" t="str">
        <f t="shared" si="79"/>
        <v>cont</v>
      </c>
      <c r="M164" s="1"/>
      <c r="N164" s="14" t="str">
        <f t="shared" ca="1" si="74"/>
        <v>MovieClipSub * sphere2_2BulletCont;</v>
      </c>
      <c r="O164" s="14" t="str">
        <f t="shared" ca="1" si="72"/>
        <v>sphere2_2BulletCont= sphere2_2Bullet-&gt;createMovieClipSub("cont");</v>
      </c>
    </row>
    <row r="165" spans="1:15" x14ac:dyDescent="0.25">
      <c r="A165" s="1"/>
      <c r="B165" s="3" t="s">
        <v>166</v>
      </c>
      <c r="C165" s="1">
        <f t="shared" ca="1" si="75"/>
        <v>1</v>
      </c>
      <c r="D165" s="1" t="s">
        <v>78</v>
      </c>
      <c r="E165" s="1" t="s">
        <v>749</v>
      </c>
      <c r="F165" s="1" t="s">
        <v>126</v>
      </c>
      <c r="G165" s="1" t="s">
        <v>586</v>
      </c>
      <c r="H165" s="1" t="str">
        <f t="shared" ca="1" si="77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3"/>
        <v>createMovieClipSub</v>
      </c>
      <c r="K165" s="1" t="str">
        <f t="shared" si="78"/>
        <v>sphere3_1</v>
      </c>
      <c r="L165" s="1" t="str">
        <f t="shared" si="79"/>
        <v>sphere3_1</v>
      </c>
      <c r="M165" s="1"/>
      <c r="N165" s="14" t="str">
        <f t="shared" ca="1" si="74"/>
        <v>MovieClipSub * sphere3_1;</v>
      </c>
      <c r="O165" s="14" t="str">
        <f t="shared" ca="1" si="72"/>
        <v>sphere3_1= this-&gt;createMovieClipSub("sphere3_1");</v>
      </c>
    </row>
    <row r="166" spans="1:15" x14ac:dyDescent="0.25">
      <c r="A166" s="1"/>
      <c r="B166" s="4" t="s">
        <v>204</v>
      </c>
      <c r="C166" s="1">
        <f t="shared" ca="1" si="75"/>
        <v>2</v>
      </c>
      <c r="D166" s="1" t="s">
        <v>78</v>
      </c>
      <c r="E166" s="1" t="s">
        <v>749</v>
      </c>
      <c r="F166" s="1" t="s">
        <v>126</v>
      </c>
      <c r="G166" s="1" t="s">
        <v>766</v>
      </c>
      <c r="H166" s="1" t="str">
        <f t="shared" ca="1" si="77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3"/>
        <v>createMovieClip</v>
      </c>
      <c r="K166" s="1" t="s">
        <v>703</v>
      </c>
      <c r="L166" s="1" t="str">
        <f t="shared" si="79"/>
        <v>bullet</v>
      </c>
      <c r="M166" s="1" t="s">
        <v>771</v>
      </c>
      <c r="N166" s="14" t="str">
        <f t="shared" ca="1" si="74"/>
        <v>MovieClip * sphere3_1Bullet;</v>
      </c>
      <c r="O166" s="14" t="str">
        <f t="shared" ca="1" si="72"/>
        <v>sphere3_1Bullet= (BulletSphereTower_mc*)sphere3_1-&gt;createMovieClip("bullet",new BulletSphereTower_mc());</v>
      </c>
    </row>
    <row r="167" spans="1:15" x14ac:dyDescent="0.25">
      <c r="A167" s="1"/>
      <c r="B167" s="5" t="s">
        <v>80</v>
      </c>
      <c r="C167" s="1">
        <f t="shared" ca="1" si="75"/>
        <v>3</v>
      </c>
      <c r="D167" s="1" t="s">
        <v>78</v>
      </c>
      <c r="E167" s="1" t="s">
        <v>749</v>
      </c>
      <c r="F167" s="1" t="s">
        <v>126</v>
      </c>
      <c r="G167" s="1" t="s">
        <v>586</v>
      </c>
      <c r="H167" s="1" t="str">
        <f t="shared" ca="1" si="77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3"/>
        <v>createMovieClipSub</v>
      </c>
      <c r="K167" s="1" t="str">
        <f t="shared" si="78"/>
        <v>cont</v>
      </c>
      <c r="L167" s="1" t="str">
        <f t="shared" si="79"/>
        <v>cont</v>
      </c>
      <c r="M167" s="1"/>
      <c r="N167" s="14" t="str">
        <f t="shared" ca="1" si="74"/>
        <v>MovieClipSub * sphere3_1BulletCont;</v>
      </c>
      <c r="O167" s="14" t="str">
        <f t="shared" ca="1" si="72"/>
        <v>sphere3_1BulletCont= sphere3_1Bullet-&gt;createMovieClipSub("cont");</v>
      </c>
    </row>
    <row r="168" spans="1:15" x14ac:dyDescent="0.25">
      <c r="A168" s="1"/>
      <c r="B168" s="3" t="s">
        <v>167</v>
      </c>
      <c r="C168" s="1">
        <f t="shared" ca="1" si="75"/>
        <v>1</v>
      </c>
      <c r="D168" s="1" t="s">
        <v>78</v>
      </c>
      <c r="E168" s="1" t="s">
        <v>749</v>
      </c>
      <c r="F168" s="1" t="s">
        <v>126</v>
      </c>
      <c r="G168" s="1" t="s">
        <v>586</v>
      </c>
      <c r="H168" s="1" t="str">
        <f t="shared" ca="1" si="77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3"/>
        <v>createMovieClipSub</v>
      </c>
      <c r="K168" s="1" t="str">
        <f t="shared" si="78"/>
        <v>sphere3_2</v>
      </c>
      <c r="L168" s="1" t="str">
        <f t="shared" si="79"/>
        <v>sphere3_2</v>
      </c>
      <c r="M168" s="1"/>
      <c r="N168" s="14" t="str">
        <f t="shared" ca="1" si="74"/>
        <v>MovieClipSub * sphere3_2;</v>
      </c>
      <c r="O168" s="14" t="str">
        <f t="shared" ca="1" si="72"/>
        <v>sphere3_2= this-&gt;createMovieClipSub("sphere3_2");</v>
      </c>
    </row>
    <row r="169" spans="1:15" x14ac:dyDescent="0.25">
      <c r="A169" s="1"/>
      <c r="B169" s="4" t="s">
        <v>204</v>
      </c>
      <c r="C169" s="1">
        <f t="shared" ca="1" si="75"/>
        <v>2</v>
      </c>
      <c r="D169" s="1" t="s">
        <v>78</v>
      </c>
      <c r="E169" s="1" t="s">
        <v>749</v>
      </c>
      <c r="F169" s="1" t="s">
        <v>126</v>
      </c>
      <c r="G169" s="1" t="s">
        <v>766</v>
      </c>
      <c r="H169" s="1" t="str">
        <f t="shared" ca="1" si="77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3"/>
        <v>createMovieClip</v>
      </c>
      <c r="K169" s="1" t="s">
        <v>703</v>
      </c>
      <c r="L169" s="1" t="str">
        <f t="shared" si="79"/>
        <v>bullet</v>
      </c>
      <c r="M169" s="1" t="s">
        <v>771</v>
      </c>
      <c r="N169" s="14" t="str">
        <f t="shared" ca="1" si="74"/>
        <v>MovieClip * sphere3_2Bullet;</v>
      </c>
      <c r="O169" s="14" t="str">
        <f t="shared" ca="1" si="72"/>
        <v>sphere3_2Bullet= (BulletSphereTower_mc*)sphere3_2-&gt;createMovieClip("bullet",new BulletSphereTower_mc());</v>
      </c>
    </row>
    <row r="170" spans="1:15" x14ac:dyDescent="0.25">
      <c r="A170" s="1"/>
      <c r="B170" s="5" t="s">
        <v>80</v>
      </c>
      <c r="C170" s="1">
        <f t="shared" ca="1" si="75"/>
        <v>3</v>
      </c>
      <c r="D170" s="1" t="s">
        <v>78</v>
      </c>
      <c r="E170" s="1" t="s">
        <v>749</v>
      </c>
      <c r="F170" s="1" t="s">
        <v>126</v>
      </c>
      <c r="G170" s="1" t="s">
        <v>586</v>
      </c>
      <c r="H170" s="1" t="str">
        <f t="shared" ca="1" si="77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3"/>
        <v>createMovieClipSub</v>
      </c>
      <c r="K170" s="1" t="str">
        <f t="shared" si="78"/>
        <v>cont</v>
      </c>
      <c r="L170" s="1" t="str">
        <f t="shared" si="79"/>
        <v>cont</v>
      </c>
      <c r="M170" s="1"/>
      <c r="N170" s="14" t="str">
        <f t="shared" ca="1" si="74"/>
        <v>MovieClipSub * sphere3_2BulletCont;</v>
      </c>
      <c r="O170" s="14" t="str">
        <f t="shared" ca="1" si="72"/>
        <v>sphere3_2BulletCont= sphere3_2Bullet-&gt;createMovieClipSub("cont");</v>
      </c>
    </row>
    <row r="171" spans="1:15" x14ac:dyDescent="0.25">
      <c r="A171" s="1"/>
      <c r="B171" s="3" t="s">
        <v>168</v>
      </c>
      <c r="C171" s="1">
        <f t="shared" ca="1" si="75"/>
        <v>1</v>
      </c>
      <c r="D171" s="1" t="s">
        <v>78</v>
      </c>
      <c r="E171" s="1" t="s">
        <v>749</v>
      </c>
      <c r="F171" s="1" t="s">
        <v>126</v>
      </c>
      <c r="G171" s="1" t="s">
        <v>586</v>
      </c>
      <c r="H171" s="1" t="str">
        <f t="shared" ca="1" si="77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3"/>
        <v>createMovieClipSub</v>
      </c>
      <c r="K171" s="1" t="str">
        <f t="shared" si="78"/>
        <v>sphere3_3</v>
      </c>
      <c r="L171" s="1" t="str">
        <f t="shared" si="79"/>
        <v>sphere3_3</v>
      </c>
      <c r="M171" s="1"/>
      <c r="N171" s="14" t="str">
        <f t="shared" ca="1" si="74"/>
        <v>MovieClipSub * sphere3_3;</v>
      </c>
      <c r="O171" s="14" t="str">
        <f t="shared" ca="1" si="72"/>
        <v>sphere3_3= this-&gt;createMovieClipSub("sphere3_3");</v>
      </c>
    </row>
    <row r="172" spans="1:15" x14ac:dyDescent="0.25">
      <c r="A172" s="1"/>
      <c r="B172" s="4" t="s">
        <v>204</v>
      </c>
      <c r="C172" s="1">
        <f t="shared" ca="1" si="75"/>
        <v>2</v>
      </c>
      <c r="D172" s="1" t="s">
        <v>78</v>
      </c>
      <c r="E172" s="1" t="s">
        <v>749</v>
      </c>
      <c r="F172" s="1" t="s">
        <v>126</v>
      </c>
      <c r="G172" s="1" t="s">
        <v>766</v>
      </c>
      <c r="H172" s="1" t="str">
        <f t="shared" ca="1" si="77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3"/>
        <v>createMovieClip</v>
      </c>
      <c r="K172" s="1" t="s">
        <v>703</v>
      </c>
      <c r="L172" s="1" t="str">
        <f t="shared" si="79"/>
        <v>bullet</v>
      </c>
      <c r="M172" s="1" t="s">
        <v>771</v>
      </c>
      <c r="N172" s="14" t="str">
        <f t="shared" ca="1" si="74"/>
        <v>MovieClip * sphere3_3Bullet;</v>
      </c>
      <c r="O172" s="14" t="str">
        <f t="shared" ca="1" si="72"/>
        <v>sphere3_3Bullet= (BulletSphereTower_mc*)sphere3_3-&gt;createMovieClip("bullet",new BulletSphereTower_mc());</v>
      </c>
    </row>
    <row r="173" spans="1:15" x14ac:dyDescent="0.25">
      <c r="A173" s="1"/>
      <c r="B173" s="5" t="s">
        <v>80</v>
      </c>
      <c r="C173" s="1">
        <f t="shared" ca="1" si="75"/>
        <v>3</v>
      </c>
      <c r="D173" s="1" t="s">
        <v>78</v>
      </c>
      <c r="E173" s="1" t="s">
        <v>749</v>
      </c>
      <c r="F173" s="1" t="s">
        <v>126</v>
      </c>
      <c r="G173" s="1" t="s">
        <v>586</v>
      </c>
      <c r="H173" s="1" t="str">
        <f t="shared" ca="1" si="77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3"/>
        <v>createMovieClipSub</v>
      </c>
      <c r="K173" s="1" t="str">
        <f t="shared" si="78"/>
        <v>cont</v>
      </c>
      <c r="L173" s="1" t="str">
        <f t="shared" si="79"/>
        <v>cont</v>
      </c>
      <c r="M173" s="1"/>
      <c r="N173" s="14" t="str">
        <f t="shared" ca="1" si="74"/>
        <v>MovieClipSub * sphere3_3BulletCont;</v>
      </c>
      <c r="O173" s="14" t="str">
        <f t="shared" ca="1" si="72"/>
        <v>sphere3_3BulletCont= sphere3_3Bullet-&gt;createMovieClipSub("cont");</v>
      </c>
    </row>
    <row r="174" spans="1:15" x14ac:dyDescent="0.25">
      <c r="A174" s="1"/>
      <c r="B174" s="3" t="s">
        <v>171</v>
      </c>
      <c r="C174" s="1">
        <f t="shared" ca="1" si="75"/>
        <v>1</v>
      </c>
      <c r="D174" s="1" t="s">
        <v>78</v>
      </c>
      <c r="E174" s="1" t="s">
        <v>749</v>
      </c>
      <c r="F174" s="1" t="s">
        <v>126</v>
      </c>
      <c r="G174" s="1" t="s">
        <v>586</v>
      </c>
      <c r="H174" s="1" t="str">
        <f t="shared" ca="1" si="77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3"/>
        <v>createMovieClipSub</v>
      </c>
      <c r="K174" s="1" t="str">
        <f t="shared" si="78"/>
        <v>sphere4_1</v>
      </c>
      <c r="L174" s="1" t="str">
        <f t="shared" si="79"/>
        <v>sphere4_1</v>
      </c>
      <c r="M174" s="1"/>
      <c r="N174" s="14" t="str">
        <f t="shared" ca="1" si="74"/>
        <v>MovieClipSub * sphere4_1;</v>
      </c>
      <c r="O174" s="14" t="str">
        <f t="shared" ca="1" si="72"/>
        <v>sphere4_1= this-&gt;createMovieClipSub("sphere4_1");</v>
      </c>
    </row>
    <row r="175" spans="1:15" x14ac:dyDescent="0.25">
      <c r="A175" s="1"/>
      <c r="B175" s="4" t="s">
        <v>204</v>
      </c>
      <c r="C175" s="1">
        <f t="shared" ca="1" si="75"/>
        <v>2</v>
      </c>
      <c r="D175" s="1" t="s">
        <v>78</v>
      </c>
      <c r="E175" s="1" t="s">
        <v>749</v>
      </c>
      <c r="F175" s="1" t="s">
        <v>126</v>
      </c>
      <c r="G175" s="1" t="s">
        <v>766</v>
      </c>
      <c r="H175" s="1" t="str">
        <f t="shared" ca="1" si="77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3"/>
        <v>createMovieClip</v>
      </c>
      <c r="K175" s="1" t="s">
        <v>703</v>
      </c>
      <c r="L175" s="1" t="str">
        <f t="shared" si="79"/>
        <v>bullet</v>
      </c>
      <c r="M175" s="1" t="s">
        <v>771</v>
      </c>
      <c r="N175" s="14" t="str">
        <f t="shared" ca="1" si="74"/>
        <v>MovieClip * sphere4_1Bullet;</v>
      </c>
      <c r="O175" s="14" t="str">
        <f t="shared" ca="1" si="72"/>
        <v>sphere4_1Bullet= (BulletSphereTower_mc*)sphere4_1-&gt;createMovieClip("bullet",new BulletSphereTower_mc());</v>
      </c>
    </row>
    <row r="176" spans="1:15" x14ac:dyDescent="0.25">
      <c r="A176" s="1"/>
      <c r="B176" s="5" t="s">
        <v>80</v>
      </c>
      <c r="C176" s="1">
        <f t="shared" ca="1" si="75"/>
        <v>3</v>
      </c>
      <c r="D176" s="1" t="s">
        <v>78</v>
      </c>
      <c r="E176" s="1" t="s">
        <v>749</v>
      </c>
      <c r="F176" s="1" t="s">
        <v>126</v>
      </c>
      <c r="G176" s="1" t="s">
        <v>586</v>
      </c>
      <c r="H176" s="1" t="str">
        <f t="shared" ca="1" si="77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3"/>
        <v>createMovieClipSub</v>
      </c>
      <c r="K176" s="1" t="str">
        <f t="shared" si="78"/>
        <v>cont</v>
      </c>
      <c r="L176" s="1" t="str">
        <f t="shared" si="79"/>
        <v>cont</v>
      </c>
      <c r="M176" s="1"/>
      <c r="N176" s="14" t="str">
        <f t="shared" ca="1" si="74"/>
        <v>MovieClipSub * sphere4_1BulletCont;</v>
      </c>
      <c r="O176" s="14" t="str">
        <f t="shared" ca="1" si="72"/>
        <v>sphere4_1BulletCont= sphere4_1Bullet-&gt;createMovieClipSub("cont");</v>
      </c>
    </row>
    <row r="177" spans="1:15" x14ac:dyDescent="0.25">
      <c r="A177" s="1"/>
      <c r="B177" s="3" t="s">
        <v>172</v>
      </c>
      <c r="C177" s="1">
        <f t="shared" ca="1" si="75"/>
        <v>1</v>
      </c>
      <c r="D177" s="1" t="s">
        <v>78</v>
      </c>
      <c r="E177" s="1" t="s">
        <v>749</v>
      </c>
      <c r="F177" s="1" t="s">
        <v>126</v>
      </c>
      <c r="G177" s="1" t="s">
        <v>586</v>
      </c>
      <c r="H177" s="1" t="str">
        <f t="shared" ca="1" si="77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3"/>
        <v>createMovieClipSub</v>
      </c>
      <c r="K177" s="1" t="str">
        <f t="shared" si="78"/>
        <v>sphere4_2</v>
      </c>
      <c r="L177" s="1" t="str">
        <f t="shared" si="79"/>
        <v>sphere4_2</v>
      </c>
      <c r="M177" s="1"/>
      <c r="N177" s="14" t="str">
        <f t="shared" ca="1" si="74"/>
        <v>MovieClipSub * sphere4_2;</v>
      </c>
      <c r="O177" s="14" t="str">
        <f t="shared" ca="1" si="72"/>
        <v>sphere4_2= this-&gt;createMovieClipSub("sphere4_2");</v>
      </c>
    </row>
    <row r="178" spans="1:15" x14ac:dyDescent="0.25">
      <c r="A178" s="1"/>
      <c r="B178" s="4" t="s">
        <v>204</v>
      </c>
      <c r="C178" s="1">
        <f t="shared" ca="1" si="75"/>
        <v>2</v>
      </c>
      <c r="D178" s="1" t="s">
        <v>78</v>
      </c>
      <c r="E178" s="1" t="s">
        <v>749</v>
      </c>
      <c r="F178" s="1" t="s">
        <v>126</v>
      </c>
      <c r="G178" s="1" t="s">
        <v>766</v>
      </c>
      <c r="H178" s="1" t="str">
        <f t="shared" ca="1" si="77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3"/>
        <v>createMovieClip</v>
      </c>
      <c r="K178" s="1" t="s">
        <v>703</v>
      </c>
      <c r="L178" s="1" t="str">
        <f t="shared" si="79"/>
        <v>bullet</v>
      </c>
      <c r="M178" s="1" t="s">
        <v>771</v>
      </c>
      <c r="N178" s="14" t="str">
        <f t="shared" ca="1" si="74"/>
        <v>MovieClip * sphere4_2Bullet;</v>
      </c>
      <c r="O178" s="14" t="str">
        <f t="shared" ca="1" si="72"/>
        <v>sphere4_2Bullet= (BulletSphereTower_mc*)sphere4_2-&gt;createMovieClip("bullet",new BulletSphereTower_mc());</v>
      </c>
    </row>
    <row r="179" spans="1:15" x14ac:dyDescent="0.25">
      <c r="A179" s="1"/>
      <c r="B179" s="5" t="s">
        <v>80</v>
      </c>
      <c r="C179" s="1">
        <f t="shared" ca="1" si="75"/>
        <v>3</v>
      </c>
      <c r="D179" s="1" t="s">
        <v>78</v>
      </c>
      <c r="E179" s="1" t="s">
        <v>749</v>
      </c>
      <c r="F179" s="1" t="s">
        <v>126</v>
      </c>
      <c r="G179" s="1" t="s">
        <v>586</v>
      </c>
      <c r="H179" s="1" t="str">
        <f t="shared" ca="1" si="77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3"/>
        <v>createMovieClipSub</v>
      </c>
      <c r="K179" s="1" t="str">
        <f t="shared" si="78"/>
        <v>cont</v>
      </c>
      <c r="L179" s="1" t="str">
        <f t="shared" si="79"/>
        <v>cont</v>
      </c>
      <c r="M179" s="1"/>
      <c r="N179" s="14" t="str">
        <f t="shared" ca="1" si="74"/>
        <v>MovieClipSub * sphere4_2BulletCont;</v>
      </c>
      <c r="O179" s="14" t="str">
        <f t="shared" ca="1" si="72"/>
        <v>sphere4_2BulletCont= sphere4_2Bullet-&gt;createMovieClipSub("cont");</v>
      </c>
    </row>
    <row r="180" spans="1:15" x14ac:dyDescent="0.25">
      <c r="A180" s="1"/>
      <c r="B180" s="3" t="s">
        <v>173</v>
      </c>
      <c r="C180" s="1">
        <f t="shared" ca="1" si="75"/>
        <v>1</v>
      </c>
      <c r="D180" s="1" t="s">
        <v>78</v>
      </c>
      <c r="E180" s="1" t="s">
        <v>749</v>
      </c>
      <c r="F180" s="1" t="s">
        <v>126</v>
      </c>
      <c r="G180" s="1" t="s">
        <v>586</v>
      </c>
      <c r="H180" s="1" t="str">
        <f t="shared" ca="1" si="77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3"/>
        <v>createMovieClipSub</v>
      </c>
      <c r="K180" s="1" t="str">
        <f t="shared" si="78"/>
        <v>sphere4_3</v>
      </c>
      <c r="L180" s="1" t="str">
        <f t="shared" si="79"/>
        <v>sphere4_3</v>
      </c>
      <c r="M180" s="1"/>
      <c r="N180" s="14" t="str">
        <f t="shared" ca="1" si="74"/>
        <v>MovieClipSub * sphere4_3;</v>
      </c>
      <c r="O180" s="14" t="str">
        <f t="shared" ca="1" si="72"/>
        <v>sphere4_3= this-&gt;createMovieClipSub("sphere4_3");</v>
      </c>
    </row>
    <row r="181" spans="1:15" x14ac:dyDescent="0.25">
      <c r="A181" s="1"/>
      <c r="B181" s="4" t="s">
        <v>204</v>
      </c>
      <c r="C181" s="1">
        <f t="shared" ca="1" si="75"/>
        <v>2</v>
      </c>
      <c r="D181" s="1" t="s">
        <v>78</v>
      </c>
      <c r="E181" s="1" t="s">
        <v>749</v>
      </c>
      <c r="F181" s="1" t="s">
        <v>126</v>
      </c>
      <c r="G181" s="1" t="s">
        <v>766</v>
      </c>
      <c r="H181" s="1" t="str">
        <f t="shared" ca="1" si="77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3"/>
        <v>createMovieClip</v>
      </c>
      <c r="K181" s="1" t="s">
        <v>703</v>
      </c>
      <c r="L181" s="1" t="str">
        <f t="shared" si="79"/>
        <v>bullet</v>
      </c>
      <c r="M181" s="1" t="s">
        <v>771</v>
      </c>
      <c r="N181" s="14" t="str">
        <f t="shared" ca="1" si="74"/>
        <v>MovieClip * sphere4_3Bullet;</v>
      </c>
      <c r="O181" s="14" t="str">
        <f t="shared" ca="1" si="72"/>
        <v>sphere4_3Bullet= (BulletSphereTower_mc*)sphere4_3-&gt;createMovieClip("bullet",new BulletSphereTower_mc());</v>
      </c>
    </row>
    <row r="182" spans="1:15" x14ac:dyDescent="0.25">
      <c r="A182" s="1"/>
      <c r="B182" s="5" t="s">
        <v>80</v>
      </c>
      <c r="C182" s="1">
        <f t="shared" ca="1" si="75"/>
        <v>3</v>
      </c>
      <c r="D182" s="1" t="s">
        <v>78</v>
      </c>
      <c r="E182" s="1" t="s">
        <v>749</v>
      </c>
      <c r="F182" s="1" t="s">
        <v>126</v>
      </c>
      <c r="G182" s="1" t="s">
        <v>586</v>
      </c>
      <c r="H182" s="1" t="str">
        <f t="shared" ca="1" si="77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3"/>
        <v>createMovieClipSub</v>
      </c>
      <c r="K182" s="1" t="str">
        <f t="shared" si="78"/>
        <v>cont</v>
      </c>
      <c r="L182" s="1" t="str">
        <f t="shared" si="79"/>
        <v>cont</v>
      </c>
      <c r="M182" s="1"/>
      <c r="N182" s="14" t="str">
        <f t="shared" ca="1" si="74"/>
        <v>MovieClipSub * sphere4_3BulletCont;</v>
      </c>
      <c r="O182" s="14" t="str">
        <f t="shared" ca="1" si="72"/>
        <v>sphere4_3BulletCont= sphere4_3Bullet-&gt;createMovieClipSub("cont");</v>
      </c>
    </row>
    <row r="183" spans="1:15" x14ac:dyDescent="0.25">
      <c r="A183" s="1"/>
      <c r="B183" s="3" t="s">
        <v>174</v>
      </c>
      <c r="C183" s="1">
        <f t="shared" ca="1" si="75"/>
        <v>1</v>
      </c>
      <c r="D183" s="1" t="s">
        <v>78</v>
      </c>
      <c r="E183" s="1" t="s">
        <v>749</v>
      </c>
      <c r="F183" s="1" t="s">
        <v>126</v>
      </c>
      <c r="G183" s="1" t="s">
        <v>586</v>
      </c>
      <c r="H183" s="1" t="str">
        <f t="shared" ca="1" si="77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3"/>
        <v>createMovieClipSub</v>
      </c>
      <c r="K183" s="1" t="str">
        <f t="shared" si="78"/>
        <v>sphere4_4</v>
      </c>
      <c r="L183" s="1" t="str">
        <f t="shared" si="79"/>
        <v>sphere4_4</v>
      </c>
      <c r="M183" s="1"/>
      <c r="N183" s="14" t="str">
        <f t="shared" ca="1" si="74"/>
        <v>MovieClipSub * sphere4_4;</v>
      </c>
      <c r="O183" s="14" t="str">
        <f t="shared" ca="1" si="72"/>
        <v>sphere4_4= this-&gt;createMovieClipSub("sphere4_4");</v>
      </c>
    </row>
    <row r="184" spans="1:15" x14ac:dyDescent="0.25">
      <c r="A184" s="1"/>
      <c r="B184" s="4" t="s">
        <v>204</v>
      </c>
      <c r="C184" s="1">
        <f t="shared" ca="1" si="75"/>
        <v>2</v>
      </c>
      <c r="D184" s="1" t="s">
        <v>78</v>
      </c>
      <c r="E184" s="1" t="s">
        <v>749</v>
      </c>
      <c r="F184" s="1" t="s">
        <v>126</v>
      </c>
      <c r="G184" s="1" t="s">
        <v>766</v>
      </c>
      <c r="H184" s="1" t="str">
        <f t="shared" ca="1" si="77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3"/>
        <v>createMovieClip</v>
      </c>
      <c r="K184" s="1" t="s">
        <v>703</v>
      </c>
      <c r="L184" s="1" t="str">
        <f t="shared" si="79"/>
        <v>bullet</v>
      </c>
      <c r="M184" s="1" t="s">
        <v>771</v>
      </c>
      <c r="N184" s="14" t="str">
        <f t="shared" ca="1" si="74"/>
        <v>MovieClip * sphere4_4Bullet;</v>
      </c>
      <c r="O184" s="14" t="str">
        <f t="shared" ca="1" si="72"/>
        <v>sphere4_4Bullet= (BulletSphereTower_mc*)sphere4_4-&gt;createMovieClip("bullet",new BulletSphereTower_mc());</v>
      </c>
    </row>
    <row r="185" spans="1:15" x14ac:dyDescent="0.25">
      <c r="A185" s="1"/>
      <c r="B185" s="5" t="s">
        <v>80</v>
      </c>
      <c r="C185" s="1">
        <f t="shared" ca="1" si="75"/>
        <v>3</v>
      </c>
      <c r="D185" s="1" t="s">
        <v>78</v>
      </c>
      <c r="E185" s="1" t="s">
        <v>749</v>
      </c>
      <c r="F185" s="1" t="s">
        <v>126</v>
      </c>
      <c r="G185" s="1" t="s">
        <v>586</v>
      </c>
      <c r="H185" s="1" t="str">
        <f t="shared" ca="1" si="77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3"/>
        <v>createMovieClipSub</v>
      </c>
      <c r="K185" s="1" t="str">
        <f t="shared" si="78"/>
        <v>cont</v>
      </c>
      <c r="L185" s="1" t="str">
        <f t="shared" si="79"/>
        <v>cont</v>
      </c>
      <c r="M185" s="1"/>
      <c r="N185" s="14" t="str">
        <f t="shared" ca="1" si="74"/>
        <v>MovieClipSub * sphere4_4BulletCont;</v>
      </c>
      <c r="O185" s="14" t="str">
        <f t="shared" ca="1" si="72"/>
        <v>sphere4_4BulletCont= sphere4_4Bullet-&gt;createMovieClipSub("cont");</v>
      </c>
    </row>
    <row r="186" spans="1:15" x14ac:dyDescent="0.25">
      <c r="A186" s="1" t="s">
        <v>175</v>
      </c>
      <c r="B186" s="29" t="s">
        <v>176</v>
      </c>
      <c r="C186" s="1">
        <f t="shared" ca="1" si="75"/>
        <v>0</v>
      </c>
      <c r="D186" s="1" t="s">
        <v>78</v>
      </c>
      <c r="E186" s="1" t="s">
        <v>126</v>
      </c>
      <c r="F186" s="1" t="s">
        <v>764</v>
      </c>
      <c r="G186" s="21" t="s">
        <v>587</v>
      </c>
      <c r="H186" s="1" t="str">
        <f t="shared" ca="1" si="77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3"/>
        <v>createMovieClip</v>
      </c>
      <c r="K186" s="1" t="str">
        <f t="shared" si="78"/>
        <v>Tower5_mc</v>
      </c>
      <c r="L186" s="1" t="str">
        <f t="shared" si="79"/>
        <v>Tower5_mc</v>
      </c>
      <c r="M186" s="1"/>
      <c r="N186" s="14" t="str">
        <f t="shared" ca="1" si="74"/>
        <v/>
      </c>
      <c r="O186" s="14" t="str">
        <f t="shared" ca="1" si="72"/>
        <v>Tower5_mc::Tower5_mc:MovieClip("tower/","Tower5_mc","Tower5_mc"{)</v>
      </c>
    </row>
    <row r="187" spans="1:15" x14ac:dyDescent="0.25">
      <c r="A187" s="1"/>
      <c r="B187" s="3" t="s">
        <v>156</v>
      </c>
      <c r="C187" s="1">
        <f t="shared" ca="1" si="75"/>
        <v>1</v>
      </c>
      <c r="D187" s="1" t="s">
        <v>78</v>
      </c>
      <c r="E187" s="1" t="s">
        <v>126</v>
      </c>
      <c r="F187" s="1" t="s">
        <v>764</v>
      </c>
      <c r="G187" s="1" t="s">
        <v>766</v>
      </c>
      <c r="H187" s="1" t="str">
        <f t="shared" ca="1" si="77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3"/>
        <v>createMovieClip</v>
      </c>
      <c r="K187" s="1" t="s">
        <v>768</v>
      </c>
      <c r="L187" s="1" t="str">
        <f t="shared" si="79"/>
        <v>blockTower</v>
      </c>
      <c r="M187" s="1"/>
      <c r="N187" s="14" t="str">
        <f t="shared" ca="1" si="74"/>
        <v>MovieClip * blockTower;</v>
      </c>
      <c r="O187" s="14" t="str">
        <f t="shared" ca="1" si="72"/>
        <v>blockTower= this-&gt;createMovieClip("blockTower","tower/","blockTower","TowerBlockBone");</v>
      </c>
    </row>
    <row r="188" spans="1:15" x14ac:dyDescent="0.25">
      <c r="A188" s="1"/>
      <c r="B188" s="3" t="s">
        <v>157</v>
      </c>
      <c r="C188" s="1">
        <f t="shared" ca="1" si="75"/>
        <v>1</v>
      </c>
      <c r="D188" s="1" t="s">
        <v>78</v>
      </c>
      <c r="E188" s="1" t="s">
        <v>126</v>
      </c>
      <c r="F188" s="1" t="s">
        <v>764</v>
      </c>
      <c r="G188" s="1" t="s">
        <v>766</v>
      </c>
      <c r="H188" s="1" t="str">
        <f t="shared" ca="1" si="77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3"/>
        <v>createMovieClip</v>
      </c>
      <c r="K188" s="1" t="s">
        <v>768</v>
      </c>
      <c r="L188" s="1" t="str">
        <f t="shared" si="79"/>
        <v>boneBlock</v>
      </c>
      <c r="M188" s="1"/>
      <c r="N188" s="14" t="str">
        <f t="shared" ca="1" si="74"/>
        <v>MovieClip * boneBlock;</v>
      </c>
      <c r="O188" s="14" t="str">
        <f t="shared" ca="1" si="72"/>
        <v>boneBlock= this-&gt;createMovieClip("boneBlock","tower/","boneBlock","TowerBlockBone");</v>
      </c>
    </row>
    <row r="189" spans="1:15" x14ac:dyDescent="0.25">
      <c r="A189" s="1"/>
      <c r="B189" s="3" t="s">
        <v>159</v>
      </c>
      <c r="C189" s="1">
        <f ca="1">indent(B189)</f>
        <v>1</v>
      </c>
      <c r="D189" s="1" t="s">
        <v>78</v>
      </c>
      <c r="E189" s="1" t="s">
        <v>126</v>
      </c>
      <c r="F189" s="1" t="s">
        <v>764</v>
      </c>
      <c r="G189" s="1" t="s">
        <v>669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4" t="str">
        <f ca="1">IF(C189&gt;0,G189 &amp; " * "&amp;H189 &amp;";","")</f>
        <v>MCCase * towerCase;</v>
      </c>
      <c r="O189" s="14" t="str">
        <f t="shared" ca="1" si="72"/>
        <v>towerCase= this-&gt;createCase("towerCase");</v>
      </c>
    </row>
    <row r="190" spans="1:15" x14ac:dyDescent="0.25">
      <c r="A190" s="1"/>
      <c r="B190" s="3" t="s">
        <v>177</v>
      </c>
      <c r="C190" s="1">
        <f t="shared" ca="1" si="75"/>
        <v>1</v>
      </c>
      <c r="D190" s="1" t="s">
        <v>78</v>
      </c>
      <c r="E190" s="1" t="s">
        <v>126</v>
      </c>
      <c r="F190" s="1" t="s">
        <v>764</v>
      </c>
      <c r="G190" s="1" t="s">
        <v>586</v>
      </c>
      <c r="H190" s="1" t="str">
        <f t="shared" ca="1" si="77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3"/>
        <v>createMovieClipSub</v>
      </c>
      <c r="K190" s="1" t="str">
        <f t="shared" si="78"/>
        <v>bot</v>
      </c>
      <c r="L190" s="1" t="str">
        <f t="shared" si="79"/>
        <v>bot</v>
      </c>
      <c r="M190" s="1"/>
      <c r="N190" s="14" t="str">
        <f t="shared" ca="1" si="74"/>
        <v>MovieClipSub * bot;</v>
      </c>
      <c r="O190" s="14" t="str">
        <f t="shared" ca="1" si="72"/>
        <v>bot= this-&gt;createMovieClipSub("bot");</v>
      </c>
    </row>
    <row r="191" spans="1:15" x14ac:dyDescent="0.25">
      <c r="A191" s="1"/>
      <c r="B191" s="3" t="s">
        <v>178</v>
      </c>
      <c r="C191" s="1">
        <f t="shared" ca="1" si="75"/>
        <v>1</v>
      </c>
      <c r="D191" s="1" t="s">
        <v>78</v>
      </c>
      <c r="E191" s="1" t="s">
        <v>126</v>
      </c>
      <c r="F191" s="1" t="s">
        <v>764</v>
      </c>
      <c r="G191" s="1" t="s">
        <v>586</v>
      </c>
      <c r="H191" s="1" t="str">
        <f t="shared" ca="1" si="77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3"/>
        <v>createMovieClipSub</v>
      </c>
      <c r="K191" s="1" t="str">
        <f t="shared" si="78"/>
        <v>upgr1</v>
      </c>
      <c r="L191" s="1" t="str">
        <f t="shared" si="79"/>
        <v>upgr1</v>
      </c>
      <c r="M191" s="1"/>
      <c r="N191" s="14" t="str">
        <f t="shared" ca="1" si="74"/>
        <v>MovieClipSub * upgr1;</v>
      </c>
      <c r="O191" s="14" t="str">
        <f t="shared" ca="1" si="72"/>
        <v>upgr1= this-&gt;createMovieClipSub("upgr1");</v>
      </c>
    </row>
    <row r="192" spans="1:15" x14ac:dyDescent="0.25">
      <c r="A192" s="1"/>
      <c r="B192" s="53" t="s">
        <v>209</v>
      </c>
      <c r="C192" s="1">
        <f t="shared" ca="1" si="75"/>
        <v>0</v>
      </c>
      <c r="D192" s="1" t="s">
        <v>78</v>
      </c>
      <c r="E192" s="1" t="s">
        <v>126</v>
      </c>
      <c r="F192" s="1" t="s">
        <v>764</v>
      </c>
      <c r="G192" s="21" t="s">
        <v>587</v>
      </c>
      <c r="H192" s="1" t="str">
        <f t="shared" ca="1" si="77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3"/>
        <v>createMovieClip</v>
      </c>
      <c r="K192" s="1" t="str">
        <f t="shared" si="78"/>
        <v>ShotTower51_2_mc</v>
      </c>
      <c r="L192" s="1" t="str">
        <f t="shared" si="79"/>
        <v>ShotTower51_2_mc</v>
      </c>
      <c r="M192" s="1"/>
      <c r="N192" s="14" t="str">
        <f t="shared" ca="1" si="74"/>
        <v/>
      </c>
      <c r="O192" s="14" t="str">
        <f t="shared" ca="1" si="72"/>
        <v>ShotTower51_2_mc::ShotTower51_2_mc:MovieClip("tower/","ShotTower51_2_mc","ShotTower51_2_mc"{)</v>
      </c>
    </row>
    <row r="193" spans="1:15" x14ac:dyDescent="0.25">
      <c r="A193" s="1" t="s">
        <v>179</v>
      </c>
      <c r="B193" s="29" t="s">
        <v>180</v>
      </c>
      <c r="C193" s="1">
        <f t="shared" ca="1" si="75"/>
        <v>0</v>
      </c>
      <c r="D193" s="1" t="s">
        <v>78</v>
      </c>
      <c r="E193" s="1" t="s">
        <v>126</v>
      </c>
      <c r="F193" s="1" t="s">
        <v>764</v>
      </c>
      <c r="G193" s="21" t="s">
        <v>587</v>
      </c>
      <c r="H193" s="1" t="str">
        <f t="shared" ca="1" si="77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3"/>
        <v>createMovieClip</v>
      </c>
      <c r="K193" s="1" t="str">
        <f t="shared" si="78"/>
        <v>Tower6_mc</v>
      </c>
      <c r="L193" s="1" t="str">
        <f t="shared" si="79"/>
        <v>Tower6_mc</v>
      </c>
      <c r="M193" s="1"/>
      <c r="N193" s="14" t="str">
        <f t="shared" ca="1" si="74"/>
        <v/>
      </c>
      <c r="O193" s="14" t="str">
        <f t="shared" ca="1" si="72"/>
        <v>Tower6_mc::Tower6_mc:MovieClip("tower/","Tower6_mc","Tower6_mc"{)</v>
      </c>
    </row>
    <row r="194" spans="1:15" x14ac:dyDescent="0.25">
      <c r="A194" s="1"/>
      <c r="B194" s="3" t="s">
        <v>156</v>
      </c>
      <c r="C194" s="1">
        <f t="shared" ca="1" si="75"/>
        <v>1</v>
      </c>
      <c r="D194" s="1" t="s">
        <v>78</v>
      </c>
      <c r="E194" s="1" t="s">
        <v>126</v>
      </c>
      <c r="F194" s="1" t="s">
        <v>764</v>
      </c>
      <c r="G194" s="1" t="s">
        <v>766</v>
      </c>
      <c r="H194" s="1" t="str">
        <f t="shared" ca="1" si="77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3"/>
        <v>createMovieClip</v>
      </c>
      <c r="K194" s="1" t="s">
        <v>768</v>
      </c>
      <c r="L194" s="1" t="str">
        <f t="shared" si="79"/>
        <v>blockTower</v>
      </c>
      <c r="M194" s="1"/>
      <c r="N194" s="14" t="str">
        <f t="shared" ca="1" si="74"/>
        <v>MovieClip * blockTower;</v>
      </c>
      <c r="O194" s="14" t="str">
        <f t="shared" ref="O194:O232" ca="1" si="80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blockTower= this-&gt;createMovieClip("blockTower","tower/","blockTower","TowerBlockBone");</v>
      </c>
    </row>
    <row r="195" spans="1:15" x14ac:dyDescent="0.25">
      <c r="A195" s="1"/>
      <c r="B195" s="3" t="s">
        <v>157</v>
      </c>
      <c r="C195" s="1">
        <f t="shared" ca="1" si="75"/>
        <v>1</v>
      </c>
      <c r="D195" s="1" t="s">
        <v>78</v>
      </c>
      <c r="E195" s="1" t="s">
        <v>126</v>
      </c>
      <c r="F195" s="1" t="s">
        <v>764</v>
      </c>
      <c r="G195" s="1" t="s">
        <v>766</v>
      </c>
      <c r="H195" s="1" t="str">
        <f t="shared" ca="1" si="77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3"/>
        <v>createMovieClip</v>
      </c>
      <c r="K195" s="1" t="s">
        <v>768</v>
      </c>
      <c r="L195" s="1" t="str">
        <f t="shared" si="79"/>
        <v>boneBlock</v>
      </c>
      <c r="M195" s="1"/>
      <c r="N195" s="14" t="str">
        <f t="shared" ca="1" si="74"/>
        <v>MovieClip * boneBlock;</v>
      </c>
      <c r="O195" s="14" t="str">
        <f t="shared" ca="1" si="80"/>
        <v>boneBlock= this-&gt;createMovieClip("boneBlock","tower/","boneBlock","TowerBlockBone");</v>
      </c>
    </row>
    <row r="196" spans="1:15" x14ac:dyDescent="0.25">
      <c r="A196" s="1"/>
      <c r="B196" s="3" t="s">
        <v>181</v>
      </c>
      <c r="C196" s="1">
        <f t="shared" ca="1" si="75"/>
        <v>1</v>
      </c>
      <c r="D196" s="1" t="s">
        <v>78</v>
      </c>
      <c r="E196" s="1" t="s">
        <v>126</v>
      </c>
      <c r="F196" s="1" t="s">
        <v>764</v>
      </c>
      <c r="G196" s="1" t="s">
        <v>586</v>
      </c>
      <c r="H196" s="1" t="str">
        <f t="shared" ca="1" si="77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3"/>
        <v>createMovieClipSub</v>
      </c>
      <c r="K196" s="1" t="str">
        <f t="shared" si="78"/>
        <v>shotAnima</v>
      </c>
      <c r="L196" s="1" t="str">
        <f t="shared" si="79"/>
        <v>shotAnima</v>
      </c>
      <c r="M196" s="1"/>
      <c r="N196" s="14" t="str">
        <f t="shared" ca="1" si="74"/>
        <v>MovieClipSub * shotAnima;</v>
      </c>
      <c r="O196" s="14" t="str">
        <f t="shared" ca="1" si="80"/>
        <v>shotAnima= this-&gt;createMovieClipSub("shotAnima");</v>
      </c>
    </row>
    <row r="197" spans="1:15" x14ac:dyDescent="0.25">
      <c r="A197" s="1"/>
      <c r="B197" s="3" t="s">
        <v>159</v>
      </c>
      <c r="C197" s="1">
        <f t="shared" ca="1" si="75"/>
        <v>1</v>
      </c>
      <c r="D197" s="1" t="s">
        <v>78</v>
      </c>
      <c r="E197" s="1" t="s">
        <v>126</v>
      </c>
      <c r="F197" s="1" t="s">
        <v>764</v>
      </c>
      <c r="G197" s="1" t="s">
        <v>669</v>
      </c>
      <c r="H197" s="1" t="str">
        <f t="shared" ca="1" si="77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3"/>
        <v>createCase</v>
      </c>
      <c r="K197" s="1" t="str">
        <f t="shared" si="78"/>
        <v>towerCase</v>
      </c>
      <c r="L197" s="1" t="str">
        <f t="shared" si="79"/>
        <v>towerCase</v>
      </c>
      <c r="M197" s="1"/>
      <c r="N197" s="14" t="str">
        <f t="shared" ca="1" si="74"/>
        <v>MCCase * towerCase;</v>
      </c>
      <c r="O197" s="14" t="str">
        <f t="shared" ca="1" si="80"/>
        <v>towerCase= this-&gt;createCase("towerCase");</v>
      </c>
    </row>
    <row r="198" spans="1:15" x14ac:dyDescent="0.25">
      <c r="A198" s="1" t="s">
        <v>182</v>
      </c>
      <c r="B198" s="29" t="s">
        <v>199</v>
      </c>
      <c r="C198" s="1">
        <f t="shared" ca="1" si="75"/>
        <v>0</v>
      </c>
      <c r="D198" s="1" t="s">
        <v>78</v>
      </c>
      <c r="E198" s="1"/>
      <c r="F198" s="1" t="s">
        <v>764</v>
      </c>
      <c r="G198" s="21" t="s">
        <v>587</v>
      </c>
      <c r="H198" s="1" t="str">
        <f t="shared" ca="1" si="77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3"/>
        <v>createMovieClip</v>
      </c>
      <c r="K198" s="1" t="str">
        <f t="shared" si="78"/>
        <v>Tower7_mc</v>
      </c>
      <c r="L198" s="1" t="str">
        <f t="shared" si="79"/>
        <v>Tower7_mc</v>
      </c>
      <c r="M198" s="1"/>
      <c r="N198" s="14" t="str">
        <f t="shared" ca="1" si="74"/>
        <v/>
      </c>
      <c r="O198" s="14" t="str">
        <f t="shared" ca="1" si="80"/>
        <v>Tower7_mc::Tower7_mc:MovieClip("tower/","Tower7_mc","Tower7_mc"{)</v>
      </c>
    </row>
    <row r="199" spans="1:15" x14ac:dyDescent="0.25">
      <c r="A199" s="1"/>
      <c r="B199" s="3" t="s">
        <v>156</v>
      </c>
      <c r="C199" s="1">
        <f t="shared" ca="1" si="75"/>
        <v>1</v>
      </c>
      <c r="D199" s="1" t="s">
        <v>78</v>
      </c>
      <c r="E199" s="1"/>
      <c r="F199" s="1" t="s">
        <v>764</v>
      </c>
      <c r="G199" s="1" t="s">
        <v>586</v>
      </c>
      <c r="H199" s="1" t="str">
        <f t="shared" ca="1" si="77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3"/>
        <v>createMovieClipSub</v>
      </c>
      <c r="K199" s="1" t="str">
        <f t="shared" si="78"/>
        <v>blockTower</v>
      </c>
      <c r="L199" s="1" t="str">
        <f t="shared" si="79"/>
        <v>blockTower</v>
      </c>
      <c r="M199" s="1"/>
      <c r="N199" s="14" t="str">
        <f t="shared" ca="1" si="74"/>
        <v>MovieClipSub * blockTower;</v>
      </c>
      <c r="O199" s="14" t="str">
        <f t="shared" ca="1" si="80"/>
        <v>blockTower= this-&gt;createMovieClipSub("blockTower");</v>
      </c>
    </row>
    <row r="200" spans="1:15" x14ac:dyDescent="0.25">
      <c r="A200" s="1"/>
      <c r="B200" s="3" t="s">
        <v>157</v>
      </c>
      <c r="C200" s="1">
        <f t="shared" ca="1" si="75"/>
        <v>1</v>
      </c>
      <c r="D200" s="1" t="s">
        <v>78</v>
      </c>
      <c r="E200" s="1"/>
      <c r="F200" s="1" t="s">
        <v>764</v>
      </c>
      <c r="G200" s="1" t="s">
        <v>586</v>
      </c>
      <c r="H200" s="1" t="str">
        <f t="shared" ca="1" si="77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3"/>
        <v>createMovieClipSub</v>
      </c>
      <c r="K200" s="1" t="str">
        <f t="shared" si="78"/>
        <v>boneBlock</v>
      </c>
      <c r="L200" s="1" t="str">
        <f t="shared" si="79"/>
        <v>boneBlock</v>
      </c>
      <c r="M200" s="1"/>
      <c r="N200" s="14" t="str">
        <f t="shared" ca="1" si="74"/>
        <v>MovieClipSub * boneBlock;</v>
      </c>
      <c r="O200" s="14" t="str">
        <f t="shared" ca="1" si="80"/>
        <v>boneBlock= this-&gt;createMovieClipSub("boneBlock");</v>
      </c>
    </row>
    <row r="201" spans="1:15" x14ac:dyDescent="0.25">
      <c r="A201" s="1"/>
      <c r="B201" s="3" t="s">
        <v>159</v>
      </c>
      <c r="C201" s="1">
        <f t="shared" ca="1" si="75"/>
        <v>1</v>
      </c>
      <c r="D201" s="1" t="s">
        <v>78</v>
      </c>
      <c r="E201" s="1"/>
      <c r="F201" s="1" t="s">
        <v>764</v>
      </c>
      <c r="G201" s="1" t="s">
        <v>669</v>
      </c>
      <c r="H201" s="1" t="str">
        <f t="shared" ca="1" si="77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3"/>
        <v>createCase</v>
      </c>
      <c r="K201" s="1" t="str">
        <f t="shared" si="78"/>
        <v>towerCase</v>
      </c>
      <c r="L201" s="1" t="str">
        <f t="shared" si="79"/>
        <v>towerCase</v>
      </c>
      <c r="M201" s="1"/>
      <c r="N201" s="14" t="str">
        <f t="shared" ca="1" si="74"/>
        <v>MCCase * towerCase;</v>
      </c>
      <c r="O201" s="14" t="str">
        <f t="shared" ca="1" si="80"/>
        <v>towerCase= this-&gt;createCase("towerCase");</v>
      </c>
    </row>
    <row r="202" spans="1:15" x14ac:dyDescent="0.25">
      <c r="A202" s="1"/>
      <c r="B202" s="3" t="s">
        <v>183</v>
      </c>
      <c r="C202" s="1">
        <f t="shared" ca="1" si="75"/>
        <v>1</v>
      </c>
      <c r="D202" s="1" t="s">
        <v>78</v>
      </c>
      <c r="E202" s="1"/>
      <c r="F202" s="1" t="s">
        <v>764</v>
      </c>
      <c r="G202" s="1" t="s">
        <v>586</v>
      </c>
      <c r="H202" s="1" t="str">
        <f t="shared" ca="1" si="77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3"/>
        <v>createMovieClipSub</v>
      </c>
      <c r="K202" s="1" t="str">
        <f t="shared" si="78"/>
        <v>cont1</v>
      </c>
      <c r="L202" s="1" t="str">
        <f t="shared" si="79"/>
        <v>cont1</v>
      </c>
      <c r="M202" s="1"/>
      <c r="N202" s="14" t="str">
        <f t="shared" ca="1" si="74"/>
        <v>MovieClipSub * cont1;</v>
      </c>
      <c r="O202" s="14" t="str">
        <f t="shared" ca="1" si="80"/>
        <v>cont1= this-&gt;createMovieClipSub("cont1");</v>
      </c>
    </row>
    <row r="203" spans="1:15" x14ac:dyDescent="0.25">
      <c r="A203" s="1"/>
      <c r="B203" s="3" t="s">
        <v>184</v>
      </c>
      <c r="C203" s="1">
        <f t="shared" ca="1" si="75"/>
        <v>1</v>
      </c>
      <c r="D203" s="1" t="s">
        <v>78</v>
      </c>
      <c r="E203" s="1"/>
      <c r="F203" s="1" t="s">
        <v>764</v>
      </c>
      <c r="G203" s="1" t="s">
        <v>586</v>
      </c>
      <c r="H203" s="1" t="str">
        <f t="shared" ca="1" si="77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3"/>
        <v>createMovieClipSub</v>
      </c>
      <c r="K203" s="1" t="str">
        <f t="shared" si="78"/>
        <v>cont2</v>
      </c>
      <c r="L203" s="1" t="str">
        <f t="shared" si="79"/>
        <v>cont2</v>
      </c>
      <c r="M203" s="1"/>
      <c r="N203" s="14" t="str">
        <f t="shared" ca="1" si="74"/>
        <v>MovieClipSub * cont2;</v>
      </c>
      <c r="O203" s="14" t="str">
        <f t="shared" ca="1" si="80"/>
        <v>cont2= this-&gt;createMovieClipSub("cont2");</v>
      </c>
    </row>
    <row r="204" spans="1:15" x14ac:dyDescent="0.25">
      <c r="A204" s="1"/>
      <c r="B204" s="3" t="s">
        <v>185</v>
      </c>
      <c r="C204" s="1">
        <f t="shared" ca="1" si="75"/>
        <v>1</v>
      </c>
      <c r="D204" s="1" t="s">
        <v>78</v>
      </c>
      <c r="E204" s="1"/>
      <c r="F204" s="1" t="s">
        <v>764</v>
      </c>
      <c r="G204" s="1" t="s">
        <v>586</v>
      </c>
      <c r="H204" s="1" t="str">
        <f t="shared" ca="1" si="77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1">CONCATENATE("create",IF(LEFT(G204,2)="MC",MID(G204,3,LEN(G204)),G204))</f>
        <v>createMovieClipSub</v>
      </c>
      <c r="K204" s="1" t="str">
        <f t="shared" si="78"/>
        <v>cont3</v>
      </c>
      <c r="L204" s="1" t="str">
        <f t="shared" si="79"/>
        <v>cont3</v>
      </c>
      <c r="M204" s="1"/>
      <c r="N204" s="14" t="str">
        <f t="shared" ref="N204:N232" ca="1" si="82">IF(C204&gt;0,G204 &amp; " * "&amp;H204 &amp;";","")</f>
        <v>MovieClipSub * cont3;</v>
      </c>
      <c r="O204" s="14" t="str">
        <f t="shared" ca="1" si="80"/>
        <v>cont3= this-&gt;createMovieClipSub("cont3");</v>
      </c>
    </row>
    <row r="205" spans="1:15" x14ac:dyDescent="0.25">
      <c r="A205" s="1"/>
      <c r="B205" s="3" t="s">
        <v>186</v>
      </c>
      <c r="C205" s="1">
        <f t="shared" ca="1" si="75"/>
        <v>1</v>
      </c>
      <c r="D205" s="1" t="s">
        <v>78</v>
      </c>
      <c r="E205" s="1"/>
      <c r="F205" s="1" t="s">
        <v>764</v>
      </c>
      <c r="G205" s="1" t="s">
        <v>586</v>
      </c>
      <c r="H205" s="1" t="str">
        <f t="shared" ca="1" si="77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1"/>
        <v>createMovieClipSub</v>
      </c>
      <c r="K205" s="1" t="str">
        <f t="shared" si="78"/>
        <v>round1</v>
      </c>
      <c r="L205" s="1" t="str">
        <f t="shared" si="79"/>
        <v>round1</v>
      </c>
      <c r="M205" s="1"/>
      <c r="N205" s="14" t="str">
        <f t="shared" ca="1" si="82"/>
        <v>MovieClipSub * round1;</v>
      </c>
      <c r="O205" s="14" t="str">
        <f t="shared" ca="1" si="80"/>
        <v>round1= this-&gt;createMovieClipSub("round1");</v>
      </c>
    </row>
    <row r="206" spans="1:15" x14ac:dyDescent="0.25">
      <c r="A206" s="1"/>
      <c r="B206" s="3" t="s">
        <v>187</v>
      </c>
      <c r="C206" s="1">
        <f t="shared" ca="1" si="75"/>
        <v>1</v>
      </c>
      <c r="D206" s="1" t="s">
        <v>78</v>
      </c>
      <c r="E206" s="1"/>
      <c r="F206" s="1" t="s">
        <v>764</v>
      </c>
      <c r="G206" s="1" t="s">
        <v>586</v>
      </c>
      <c r="H206" s="1" t="str">
        <f t="shared" ca="1" si="77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1"/>
        <v>createMovieClipSub</v>
      </c>
      <c r="K206" s="1" t="str">
        <f t="shared" si="78"/>
        <v>round2</v>
      </c>
      <c r="L206" s="1" t="str">
        <f t="shared" si="79"/>
        <v>round2</v>
      </c>
      <c r="M206" s="1"/>
      <c r="N206" s="14" t="str">
        <f t="shared" ca="1" si="82"/>
        <v>MovieClipSub * round2;</v>
      </c>
      <c r="O206" s="14" t="str">
        <f t="shared" ca="1" si="80"/>
        <v>round2= this-&gt;createMovieClipSub("round2");</v>
      </c>
    </row>
    <row r="207" spans="1:15" x14ac:dyDescent="0.25">
      <c r="A207" s="1"/>
      <c r="B207" s="3" t="s">
        <v>188</v>
      </c>
      <c r="C207" s="1">
        <f t="shared" ca="1" si="75"/>
        <v>1</v>
      </c>
      <c r="D207" s="1" t="s">
        <v>78</v>
      </c>
      <c r="E207" s="1"/>
      <c r="F207" s="1" t="s">
        <v>764</v>
      </c>
      <c r="G207" s="1" t="s">
        <v>586</v>
      </c>
      <c r="H207" s="1" t="str">
        <f t="shared" ca="1" si="77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1"/>
        <v>createMovieClipSub</v>
      </c>
      <c r="K207" s="1" t="str">
        <f t="shared" si="78"/>
        <v>round3</v>
      </c>
      <c r="L207" s="1" t="str">
        <f t="shared" si="79"/>
        <v>round3</v>
      </c>
      <c r="M207" s="1"/>
      <c r="N207" s="14" t="str">
        <f t="shared" ca="1" si="82"/>
        <v>MovieClipSub * round3;</v>
      </c>
      <c r="O207" s="14" t="str">
        <f t="shared" ca="1" si="80"/>
        <v>round3= this-&gt;createMovieClipSub("round3");</v>
      </c>
    </row>
    <row r="208" spans="1:15" x14ac:dyDescent="0.25">
      <c r="A208" s="1"/>
      <c r="B208" s="3" t="s">
        <v>189</v>
      </c>
      <c r="C208" s="1">
        <f t="shared" ca="1" si="75"/>
        <v>1</v>
      </c>
      <c r="D208" s="1" t="s">
        <v>78</v>
      </c>
      <c r="E208" s="1"/>
      <c r="F208" s="1" t="s">
        <v>764</v>
      </c>
      <c r="G208" s="1" t="s">
        <v>586</v>
      </c>
      <c r="H208" s="1" t="str">
        <f t="shared" ca="1" si="77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1"/>
        <v>createMovieClipSub</v>
      </c>
      <c r="K208" s="1" t="str">
        <f t="shared" si="78"/>
        <v>round4</v>
      </c>
      <c r="L208" s="1" t="str">
        <f t="shared" si="79"/>
        <v>round4</v>
      </c>
      <c r="M208" s="1"/>
      <c r="N208" s="14" t="str">
        <f t="shared" ca="1" si="82"/>
        <v>MovieClipSub * round4;</v>
      </c>
      <c r="O208" s="14" t="str">
        <f t="shared" ca="1" si="80"/>
        <v>round4= this-&gt;createMovieClipSub("round4");</v>
      </c>
    </row>
    <row r="209" spans="1:15" x14ac:dyDescent="0.25">
      <c r="A209" s="1" t="s">
        <v>767</v>
      </c>
      <c r="B209" s="3" t="s">
        <v>210</v>
      </c>
      <c r="C209" s="1">
        <f t="shared" ca="1" si="75"/>
        <v>1</v>
      </c>
      <c r="D209" s="1" t="s">
        <v>78</v>
      </c>
      <c r="E209" s="1"/>
      <c r="F209" s="1" t="s">
        <v>764</v>
      </c>
      <c r="G209" s="1" t="s">
        <v>766</v>
      </c>
      <c r="H209" s="1" t="str">
        <f t="shared" ca="1" si="77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1"/>
        <v>createMovieClip</v>
      </c>
      <c r="K209" s="1" t="s">
        <v>765</v>
      </c>
      <c r="L209" s="1" t="s">
        <v>767</v>
      </c>
      <c r="M209" s="1" t="s">
        <v>771</v>
      </c>
      <c r="N209" s="14" t="str">
        <f t="shared" ca="1" si="82"/>
        <v>MovieClip * upgr1_1;</v>
      </c>
      <c r="O209" s="14" t="str">
        <f t="shared" ca="1" si="80"/>
        <v>upgr1_1= (BulletTower71_mc*)this-&gt;createMovieClip("upgr1_1",new BulletTower71_mc());</v>
      </c>
    </row>
    <row r="210" spans="1:15" x14ac:dyDescent="0.25">
      <c r="A210" s="1" t="s">
        <v>765</v>
      </c>
      <c r="B210" s="3" t="s">
        <v>190</v>
      </c>
      <c r="C210" s="1">
        <f t="shared" ca="1" si="75"/>
        <v>1</v>
      </c>
      <c r="D210" s="1" t="s">
        <v>78</v>
      </c>
      <c r="E210" s="1"/>
      <c r="F210" s="1" t="s">
        <v>764</v>
      </c>
      <c r="G210" s="1" t="s">
        <v>766</v>
      </c>
      <c r="H210" s="1" t="str">
        <f t="shared" ca="1" si="77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1"/>
        <v>createMovieClip</v>
      </c>
      <c r="K210" s="1" t="s">
        <v>765</v>
      </c>
      <c r="L210" s="1" t="s">
        <v>767</v>
      </c>
      <c r="M210" s="1" t="s">
        <v>771</v>
      </c>
      <c r="N210" s="14" t="str">
        <f t="shared" ca="1" si="82"/>
        <v>MovieClip * upgr1_2;</v>
      </c>
      <c r="O210" s="14" t="str">
        <f t="shared" ca="1" si="80"/>
        <v>upgr1_2= (BulletTower71_mc*)this-&gt;createMovieClip("upgr1_2",new BulletTower71_mc());</v>
      </c>
    </row>
    <row r="211" spans="1:15" x14ac:dyDescent="0.25">
      <c r="A211" s="1" t="s">
        <v>765</v>
      </c>
      <c r="B211" s="3" t="s">
        <v>191</v>
      </c>
      <c r="C211" s="1">
        <f t="shared" ca="1" si="75"/>
        <v>1</v>
      </c>
      <c r="D211" s="1" t="s">
        <v>78</v>
      </c>
      <c r="E211" s="1"/>
      <c r="F211" s="1" t="s">
        <v>764</v>
      </c>
      <c r="G211" s="1" t="s">
        <v>766</v>
      </c>
      <c r="H211" s="1" t="str">
        <f t="shared" ca="1" si="77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1"/>
        <v>createMovieClip</v>
      </c>
      <c r="K211" s="1" t="s">
        <v>765</v>
      </c>
      <c r="L211" s="1" t="s">
        <v>767</v>
      </c>
      <c r="M211" s="1" t="s">
        <v>771</v>
      </c>
      <c r="N211" s="14" t="str">
        <f t="shared" ca="1" si="82"/>
        <v>MovieClip * upgr1_3;</v>
      </c>
      <c r="O211" s="14" t="str">
        <f t="shared" ca="1" si="80"/>
        <v>upgr1_3= (BulletTower71_mc*)this-&gt;createMovieClip("upgr1_3",new BulletTower71_mc());</v>
      </c>
    </row>
    <row r="212" spans="1:15" x14ac:dyDescent="0.25">
      <c r="A212" s="1" t="s">
        <v>765</v>
      </c>
      <c r="B212" s="3" t="s">
        <v>192</v>
      </c>
      <c r="C212" s="1">
        <f t="shared" ca="1" si="75"/>
        <v>1</v>
      </c>
      <c r="D212" s="1" t="s">
        <v>78</v>
      </c>
      <c r="E212" s="1"/>
      <c r="F212" s="1" t="s">
        <v>764</v>
      </c>
      <c r="G212" s="1" t="s">
        <v>766</v>
      </c>
      <c r="H212" s="1" t="str">
        <f t="shared" ca="1" si="77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1"/>
        <v>createMovieClip</v>
      </c>
      <c r="K212" s="1" t="s">
        <v>765</v>
      </c>
      <c r="L212" s="1" t="s">
        <v>767</v>
      </c>
      <c r="M212" s="1" t="s">
        <v>771</v>
      </c>
      <c r="N212" s="14" t="str">
        <f t="shared" ca="1" si="82"/>
        <v>MovieClip * upgr1_4;</v>
      </c>
      <c r="O212" s="14" t="str">
        <f t="shared" ca="1" si="80"/>
        <v>upgr1_4= (BulletTower71_mc*)this-&gt;createMovieClip("upgr1_4",new BulletTower71_mc());</v>
      </c>
    </row>
    <row r="213" spans="1:15" x14ac:dyDescent="0.25">
      <c r="A213" s="1" t="s">
        <v>765</v>
      </c>
      <c r="B213" s="3" t="s">
        <v>193</v>
      </c>
      <c r="C213" s="1">
        <f t="shared" ca="1" si="75"/>
        <v>1</v>
      </c>
      <c r="D213" s="1" t="s">
        <v>78</v>
      </c>
      <c r="E213" s="1"/>
      <c r="F213" s="1" t="s">
        <v>764</v>
      </c>
      <c r="G213" s="1" t="s">
        <v>766</v>
      </c>
      <c r="H213" s="1" t="str">
        <f t="shared" ca="1" si="77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1"/>
        <v>createMovieClip</v>
      </c>
      <c r="K213" s="1" t="s">
        <v>765</v>
      </c>
      <c r="L213" s="1" t="s">
        <v>767</v>
      </c>
      <c r="M213" s="1" t="s">
        <v>771</v>
      </c>
      <c r="N213" s="14" t="str">
        <f t="shared" ca="1" si="82"/>
        <v>MovieClip * upgr1_5;</v>
      </c>
      <c r="O213" s="14" t="str">
        <f t="shared" ca="1" si="80"/>
        <v>upgr1_5= (BulletTower71_mc*)this-&gt;createMovieClip("upgr1_5",new BulletTower71_mc());</v>
      </c>
    </row>
    <row r="214" spans="1:15" x14ac:dyDescent="0.25">
      <c r="A214" s="1" t="s">
        <v>765</v>
      </c>
      <c r="B214" s="3" t="s">
        <v>194</v>
      </c>
      <c r="C214" s="1">
        <f t="shared" ca="1" si="75"/>
        <v>1</v>
      </c>
      <c r="D214" s="1" t="s">
        <v>78</v>
      </c>
      <c r="E214" s="1"/>
      <c r="F214" s="1" t="s">
        <v>764</v>
      </c>
      <c r="G214" s="1" t="s">
        <v>766</v>
      </c>
      <c r="H214" s="1" t="str">
        <f t="shared" ca="1" si="77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1"/>
        <v>createMovieClip</v>
      </c>
      <c r="K214" s="1" t="s">
        <v>765</v>
      </c>
      <c r="L214" s="1" t="s">
        <v>767</v>
      </c>
      <c r="M214" s="1" t="s">
        <v>771</v>
      </c>
      <c r="N214" s="14" t="str">
        <f t="shared" ca="1" si="82"/>
        <v>MovieClip * upgr1_6;</v>
      </c>
      <c r="O214" s="14" t="str">
        <f t="shared" ca="1" si="80"/>
        <v>upgr1_6= (BulletTower71_mc*)this-&gt;createMovieClip("upgr1_6",new BulletTower71_mc());</v>
      </c>
    </row>
    <row r="215" spans="1:15" x14ac:dyDescent="0.25">
      <c r="A215" s="1" t="s">
        <v>765</v>
      </c>
      <c r="B215" s="3" t="s">
        <v>195</v>
      </c>
      <c r="C215" s="1">
        <f t="shared" ca="1" si="75"/>
        <v>1</v>
      </c>
      <c r="D215" s="1" t="s">
        <v>78</v>
      </c>
      <c r="E215" s="1"/>
      <c r="F215" s="1" t="s">
        <v>764</v>
      </c>
      <c r="G215" s="1" t="s">
        <v>766</v>
      </c>
      <c r="H215" s="1" t="str">
        <f t="shared" ca="1" si="77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1"/>
        <v>createMovieClip</v>
      </c>
      <c r="K215" s="1" t="s">
        <v>765</v>
      </c>
      <c r="L215" s="1" t="s">
        <v>767</v>
      </c>
      <c r="M215" s="1" t="s">
        <v>771</v>
      </c>
      <c r="N215" s="14" t="str">
        <f t="shared" ca="1" si="82"/>
        <v>MovieClip * upgr1_7;</v>
      </c>
      <c r="O215" s="14" t="str">
        <f t="shared" ca="1" si="80"/>
        <v>upgr1_7= (BulletTower71_mc*)this-&gt;createMovieClip("upgr1_7",new BulletTower71_mc());</v>
      </c>
    </row>
    <row r="216" spans="1:15" x14ac:dyDescent="0.25">
      <c r="A216" s="1" t="s">
        <v>765</v>
      </c>
      <c r="B216" s="3" t="s">
        <v>196</v>
      </c>
      <c r="C216" s="1">
        <f t="shared" ref="C216:C232" ca="1" si="83">indent(B216)</f>
        <v>1</v>
      </c>
      <c r="D216" s="1" t="s">
        <v>78</v>
      </c>
      <c r="E216" s="1"/>
      <c r="F216" s="1" t="s">
        <v>764</v>
      </c>
      <c r="G216" s="1" t="s">
        <v>766</v>
      </c>
      <c r="H216" s="1" t="str">
        <f t="shared" ca="1" si="77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1"/>
        <v>createMovieClip</v>
      </c>
      <c r="K216" s="1" t="s">
        <v>765</v>
      </c>
      <c r="L216" s="1" t="s">
        <v>767</v>
      </c>
      <c r="M216" s="1" t="s">
        <v>771</v>
      </c>
      <c r="N216" s="14" t="str">
        <f t="shared" ca="1" si="82"/>
        <v>MovieClip * upgr1_8;</v>
      </c>
      <c r="O216" s="14" t="str">
        <f t="shared" ca="1" si="80"/>
        <v>upgr1_8= (BulletTower71_mc*)this-&gt;createMovieClip("upgr1_8",new BulletTower71_mc());</v>
      </c>
    </row>
    <row r="217" spans="1:15" x14ac:dyDescent="0.25">
      <c r="A217" s="1" t="s">
        <v>197</v>
      </c>
      <c r="B217" s="29" t="s">
        <v>198</v>
      </c>
      <c r="C217" s="1">
        <f t="shared" ca="1" si="83"/>
        <v>0</v>
      </c>
      <c r="D217" s="1" t="s">
        <v>78</v>
      </c>
      <c r="E217" s="1"/>
      <c r="F217" s="1" t="s">
        <v>764</v>
      </c>
      <c r="G217" s="21" t="s">
        <v>587</v>
      </c>
      <c r="H217" s="1" t="str">
        <f t="shared" ref="H217:H232" ca="1" si="84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1"/>
        <v>createMovieClip</v>
      </c>
      <c r="K217" s="1" t="str">
        <f t="shared" ref="K217:K232" si="85">B217</f>
        <v>Tower8_mc</v>
      </c>
      <c r="L217" s="1" t="str">
        <f t="shared" ref="L217:L232" si="86">B217</f>
        <v>Tower8_mc</v>
      </c>
      <c r="M217" s="1"/>
      <c r="N217" s="14" t="str">
        <f t="shared" ca="1" si="82"/>
        <v/>
      </c>
      <c r="O217" s="14" t="str">
        <f t="shared" ca="1" si="80"/>
        <v>Tower8_mc::Tower8_mc:MovieClip("tower/","Tower8_mc","Tower8_mc"{)</v>
      </c>
    </row>
    <row r="218" spans="1:15" x14ac:dyDescent="0.25">
      <c r="A218" s="1"/>
      <c r="B218" s="3" t="s">
        <v>211</v>
      </c>
      <c r="C218" s="1">
        <f t="shared" ca="1" si="83"/>
        <v>1</v>
      </c>
      <c r="D218" s="1" t="s">
        <v>78</v>
      </c>
      <c r="E218" s="1"/>
      <c r="F218" s="1" t="s">
        <v>764</v>
      </c>
      <c r="G218" s="1" t="s">
        <v>766</v>
      </c>
      <c r="H218" s="1" t="str">
        <f t="shared" ca="1" si="84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1"/>
        <v>createMovieClip</v>
      </c>
      <c r="K218" s="1" t="s">
        <v>768</v>
      </c>
      <c r="L218" s="1" t="str">
        <f t="shared" si="86"/>
        <v>blockTower</v>
      </c>
      <c r="M218" s="1"/>
      <c r="N218" s="14" t="str">
        <f t="shared" ca="1" si="82"/>
        <v>MovieClip * blockTower;</v>
      </c>
      <c r="O218" s="14" t="str">
        <f t="shared" ca="1" si="80"/>
        <v>blockTower= this-&gt;createMovieClip("blockTower","tower/","blockTower","TowerBlockBone");</v>
      </c>
    </row>
    <row r="219" spans="1:15" x14ac:dyDescent="0.25">
      <c r="A219" s="1"/>
      <c r="B219" s="3" t="s">
        <v>157</v>
      </c>
      <c r="C219" s="1">
        <f t="shared" ca="1" si="83"/>
        <v>1</v>
      </c>
      <c r="D219" s="1" t="s">
        <v>78</v>
      </c>
      <c r="E219" s="1"/>
      <c r="F219" s="1" t="s">
        <v>764</v>
      </c>
      <c r="G219" s="1" t="s">
        <v>766</v>
      </c>
      <c r="H219" s="1" t="str">
        <f t="shared" ca="1" si="84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1"/>
        <v>createMovieClip</v>
      </c>
      <c r="K219" s="1" t="s">
        <v>768</v>
      </c>
      <c r="L219" s="1" t="str">
        <f t="shared" si="86"/>
        <v>boneBlock</v>
      </c>
      <c r="M219" s="1"/>
      <c r="N219" s="14" t="str">
        <f t="shared" ca="1" si="82"/>
        <v>MovieClip * boneBlock;</v>
      </c>
      <c r="O219" s="14" t="str">
        <f t="shared" ca="1" si="80"/>
        <v>boneBlock= this-&gt;createMovieClip("boneBlock","tower/","boneBlock","TowerBlockBone");</v>
      </c>
    </row>
    <row r="220" spans="1:15" x14ac:dyDescent="0.25">
      <c r="A220" s="1"/>
      <c r="B220" s="3" t="s">
        <v>159</v>
      </c>
      <c r="C220" s="1">
        <f t="shared" ca="1" si="83"/>
        <v>1</v>
      </c>
      <c r="D220" s="1" t="s">
        <v>78</v>
      </c>
      <c r="E220" s="1"/>
      <c r="F220" s="1" t="s">
        <v>764</v>
      </c>
      <c r="G220" s="1" t="s">
        <v>669</v>
      </c>
      <c r="H220" s="1" t="str">
        <f t="shared" ca="1" si="84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1"/>
        <v>createCase</v>
      </c>
      <c r="K220" s="1" t="str">
        <f t="shared" si="85"/>
        <v>towerCase</v>
      </c>
      <c r="L220" s="1" t="str">
        <f t="shared" si="86"/>
        <v>towerCase</v>
      </c>
      <c r="M220" s="1"/>
      <c r="N220" s="14" t="str">
        <f t="shared" ca="1" si="82"/>
        <v>MCCase * towerCase;</v>
      </c>
      <c r="O220" s="14" t="str">
        <f t="shared" ca="1" si="80"/>
        <v>towerCase= this-&gt;createCase("towerCase");</v>
      </c>
    </row>
    <row r="221" spans="1:15" x14ac:dyDescent="0.25">
      <c r="A221" s="1"/>
      <c r="B221" s="3" t="s">
        <v>183</v>
      </c>
      <c r="C221" s="1">
        <f t="shared" ca="1" si="83"/>
        <v>1</v>
      </c>
      <c r="D221" s="1" t="s">
        <v>78</v>
      </c>
      <c r="E221" s="1"/>
      <c r="F221" s="1" t="s">
        <v>764</v>
      </c>
      <c r="G221" s="1" t="s">
        <v>586</v>
      </c>
      <c r="H221" s="1" t="str">
        <f t="shared" ca="1" si="84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1"/>
        <v>createMovieClipSub</v>
      </c>
      <c r="K221" s="1" t="str">
        <f t="shared" si="85"/>
        <v>cont1</v>
      </c>
      <c r="L221" s="1" t="str">
        <f t="shared" si="86"/>
        <v>cont1</v>
      </c>
      <c r="M221" s="1"/>
      <c r="N221" s="14" t="str">
        <f t="shared" ca="1" si="82"/>
        <v>MovieClipSub * cont1;</v>
      </c>
      <c r="O221" s="14" t="str">
        <f t="shared" ca="1" si="80"/>
        <v>cont1= this-&gt;createMovieClipSub("cont1");</v>
      </c>
    </row>
    <row r="222" spans="1:15" x14ac:dyDescent="0.25">
      <c r="A222" s="1"/>
      <c r="B222" s="3" t="s">
        <v>184</v>
      </c>
      <c r="C222" s="1">
        <f t="shared" ca="1" si="83"/>
        <v>1</v>
      </c>
      <c r="D222" s="1" t="s">
        <v>78</v>
      </c>
      <c r="E222" s="1"/>
      <c r="F222" s="1" t="s">
        <v>764</v>
      </c>
      <c r="G222" s="1" t="s">
        <v>586</v>
      </c>
      <c r="H222" s="1" t="str">
        <f t="shared" ca="1" si="84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1"/>
        <v>createMovieClipSub</v>
      </c>
      <c r="K222" s="1" t="str">
        <f t="shared" si="85"/>
        <v>cont2</v>
      </c>
      <c r="L222" s="1" t="str">
        <f t="shared" si="86"/>
        <v>cont2</v>
      </c>
      <c r="M222" s="1"/>
      <c r="N222" s="14" t="str">
        <f t="shared" ca="1" si="82"/>
        <v>MovieClipSub * cont2;</v>
      </c>
      <c r="O222" s="14" t="str">
        <f t="shared" ca="1" si="80"/>
        <v>cont2= this-&gt;createMovieClipSub("cont2");</v>
      </c>
    </row>
    <row r="223" spans="1:15" x14ac:dyDescent="0.25">
      <c r="A223" s="1"/>
      <c r="B223" s="3" t="s">
        <v>185</v>
      </c>
      <c r="C223" s="1">
        <f t="shared" ca="1" si="83"/>
        <v>1</v>
      </c>
      <c r="D223" s="1" t="s">
        <v>78</v>
      </c>
      <c r="E223" s="1"/>
      <c r="F223" s="1" t="s">
        <v>764</v>
      </c>
      <c r="G223" s="1" t="s">
        <v>586</v>
      </c>
      <c r="H223" s="1" t="str">
        <f t="shared" ca="1" si="84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1"/>
        <v>createMovieClipSub</v>
      </c>
      <c r="K223" s="1" t="str">
        <f t="shared" si="85"/>
        <v>cont3</v>
      </c>
      <c r="L223" s="1" t="str">
        <f t="shared" si="86"/>
        <v>cont3</v>
      </c>
      <c r="M223" s="1"/>
      <c r="N223" s="14" t="str">
        <f t="shared" ca="1" si="82"/>
        <v>MovieClipSub * cont3;</v>
      </c>
      <c r="O223" s="14" t="str">
        <f t="shared" ca="1" si="80"/>
        <v>cont3= this-&gt;createMovieClipSub("cont3");</v>
      </c>
    </row>
    <row r="224" spans="1:15" x14ac:dyDescent="0.25">
      <c r="A224" s="1"/>
      <c r="B224" s="3" t="s">
        <v>201</v>
      </c>
      <c r="C224" s="1">
        <f t="shared" ca="1" si="83"/>
        <v>1</v>
      </c>
      <c r="D224" s="1" t="s">
        <v>78</v>
      </c>
      <c r="E224" s="1"/>
      <c r="F224" s="1" t="s">
        <v>764</v>
      </c>
      <c r="G224" s="1" t="s">
        <v>586</v>
      </c>
      <c r="H224" s="1" t="str">
        <f t="shared" ca="1" si="84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1"/>
        <v>createMovieClipSub</v>
      </c>
      <c r="K224" s="1" t="str">
        <f t="shared" si="85"/>
        <v>cont4</v>
      </c>
      <c r="L224" s="1" t="str">
        <f t="shared" si="86"/>
        <v>cont4</v>
      </c>
      <c r="M224" s="1"/>
      <c r="N224" s="14" t="str">
        <f t="shared" ca="1" si="82"/>
        <v>MovieClipSub * cont4;</v>
      </c>
      <c r="O224" s="14" t="str">
        <f t="shared" ca="1" si="80"/>
        <v>cont4= this-&gt;createMovieClipSub("cont4");</v>
      </c>
    </row>
    <row r="225" spans="1:15" x14ac:dyDescent="0.25">
      <c r="A225" s="1"/>
      <c r="B225" s="3" t="s">
        <v>202</v>
      </c>
      <c r="C225" s="1">
        <f t="shared" ca="1" si="83"/>
        <v>1</v>
      </c>
      <c r="D225" s="1" t="s">
        <v>78</v>
      </c>
      <c r="E225" s="1"/>
      <c r="F225" s="1" t="s">
        <v>764</v>
      </c>
      <c r="G225" s="1" t="s">
        <v>586</v>
      </c>
      <c r="H225" s="1" t="str">
        <f t="shared" ca="1" si="84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1"/>
        <v>createMovieClipSub</v>
      </c>
      <c r="K225" s="1" t="str">
        <f t="shared" si="85"/>
        <v>cont5</v>
      </c>
      <c r="L225" s="1" t="str">
        <f t="shared" si="86"/>
        <v>cont5</v>
      </c>
      <c r="M225" s="1"/>
      <c r="N225" s="14" t="str">
        <f t="shared" ca="1" si="82"/>
        <v>MovieClipSub * cont5;</v>
      </c>
      <c r="O225" s="14" t="str">
        <f t="shared" ca="1" si="80"/>
        <v>cont5= this-&gt;createMovieClipSub("cont5");</v>
      </c>
    </row>
    <row r="226" spans="1:15" x14ac:dyDescent="0.25">
      <c r="A226" s="1"/>
      <c r="B226" s="3" t="s">
        <v>203</v>
      </c>
      <c r="C226" s="1">
        <f t="shared" ca="1" si="83"/>
        <v>1</v>
      </c>
      <c r="D226" s="1" t="s">
        <v>78</v>
      </c>
      <c r="E226" s="1"/>
      <c r="F226" s="1" t="s">
        <v>764</v>
      </c>
      <c r="G226" s="1" t="s">
        <v>586</v>
      </c>
      <c r="H226" s="1" t="str">
        <f t="shared" ca="1" si="84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1"/>
        <v>createMovieClipSub</v>
      </c>
      <c r="K226" s="1" t="str">
        <f t="shared" si="85"/>
        <v>cont6</v>
      </c>
      <c r="L226" s="1" t="str">
        <f t="shared" si="86"/>
        <v>cont6</v>
      </c>
      <c r="M226" s="1"/>
      <c r="N226" s="14" t="str">
        <f t="shared" ca="1" si="82"/>
        <v>MovieClipSub * cont6;</v>
      </c>
      <c r="O226" s="14" t="str">
        <f t="shared" ca="1" si="80"/>
        <v>cont6= this-&gt;createMovieClipSub("cont6");</v>
      </c>
    </row>
    <row r="227" spans="1:15" x14ac:dyDescent="0.25">
      <c r="A227" s="1"/>
      <c r="B227" s="3" t="s">
        <v>200</v>
      </c>
      <c r="C227" s="1">
        <f t="shared" ca="1" si="83"/>
        <v>1</v>
      </c>
      <c r="D227" s="1" t="s">
        <v>78</v>
      </c>
      <c r="E227" s="1"/>
      <c r="F227" s="1" t="s">
        <v>764</v>
      </c>
      <c r="G227" s="1" t="s">
        <v>586</v>
      </c>
      <c r="H227" s="1" t="str">
        <f t="shared" ca="1" si="84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1"/>
        <v>createMovieClipSub</v>
      </c>
      <c r="K227" s="1" t="str">
        <f t="shared" si="85"/>
        <v>fireLight1</v>
      </c>
      <c r="L227" s="1" t="str">
        <f t="shared" si="86"/>
        <v>fireLight1</v>
      </c>
      <c r="M227" s="1"/>
      <c r="N227" s="14" t="str">
        <f t="shared" ca="1" si="82"/>
        <v>MovieClipSub * fireLight1;</v>
      </c>
      <c r="O227" s="14" t="str">
        <f t="shared" ca="1" si="80"/>
        <v>fireLight1= this-&gt;createMovieClipSub("fireLight1");</v>
      </c>
    </row>
    <row r="228" spans="1:15" x14ac:dyDescent="0.25">
      <c r="A228" s="1" t="s">
        <v>289</v>
      </c>
      <c r="B228" s="21" t="s">
        <v>707</v>
      </c>
      <c r="C228" s="1">
        <f t="shared" ca="1" si="83"/>
        <v>0</v>
      </c>
      <c r="D228" s="1" t="s">
        <v>78</v>
      </c>
      <c r="E228" s="1" t="s">
        <v>764</v>
      </c>
      <c r="F228" s="1" t="s">
        <v>764</v>
      </c>
      <c r="G228" s="21" t="s">
        <v>587</v>
      </c>
      <c r="H228" s="1" t="str">
        <f t="shared" ca="1" si="84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1"/>
        <v>createMovieClip</v>
      </c>
      <c r="K228" s="1" t="str">
        <f t="shared" si="85"/>
        <v>Exchange_mc</v>
      </c>
      <c r="L228" s="1" t="str">
        <f t="shared" si="86"/>
        <v>Exchange_mc</v>
      </c>
      <c r="M228" s="1"/>
      <c r="N228" s="14" t="str">
        <f t="shared" ca="1" si="82"/>
        <v/>
      </c>
      <c r="O228" s="14" t="str">
        <f t="shared" ca="1" si="80"/>
        <v>Exchange_mc::Exchange_mc:MovieClip("tower/","Exchange_mc","Exchange_mc"{)</v>
      </c>
    </row>
    <row r="229" spans="1:15" x14ac:dyDescent="0.25">
      <c r="A229" s="1"/>
      <c r="B229" s="3" t="s">
        <v>291</v>
      </c>
      <c r="C229" s="1">
        <f t="shared" ca="1" si="83"/>
        <v>1</v>
      </c>
      <c r="D229" s="1" t="s">
        <v>78</v>
      </c>
      <c r="E229" s="1" t="s">
        <v>764</v>
      </c>
      <c r="F229" s="1" t="s">
        <v>764</v>
      </c>
      <c r="G229" s="1" t="s">
        <v>669</v>
      </c>
      <c r="H229" s="1" t="str">
        <f t="shared" ca="1" si="84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1"/>
        <v>createCase</v>
      </c>
      <c r="K229" s="1" t="str">
        <f t="shared" si="85"/>
        <v>exchangeCase</v>
      </c>
      <c r="L229" s="1" t="str">
        <f t="shared" si="86"/>
        <v>exchangeCase</v>
      </c>
      <c r="M229" s="1"/>
      <c r="N229" s="14" t="str">
        <f t="shared" ca="1" si="82"/>
        <v>MCCase * exchangeCase;</v>
      </c>
      <c r="O229" s="14" t="str">
        <f t="shared" ca="1" si="80"/>
        <v>exchangeCase= this-&gt;createCase("exchangeCase");</v>
      </c>
    </row>
    <row r="230" spans="1:15" x14ac:dyDescent="0.25">
      <c r="A230" s="1"/>
      <c r="B230" s="21" t="s">
        <v>290</v>
      </c>
      <c r="C230" s="1">
        <f t="shared" ca="1" si="83"/>
        <v>0</v>
      </c>
      <c r="D230" s="1" t="s">
        <v>78</v>
      </c>
      <c r="E230" s="1" t="s">
        <v>764</v>
      </c>
      <c r="F230" s="1" t="s">
        <v>764</v>
      </c>
      <c r="G230" s="21" t="s">
        <v>587</v>
      </c>
      <c r="H230" s="1" t="str">
        <f t="shared" ca="1" si="84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1"/>
        <v>createMovieClip</v>
      </c>
      <c r="K230" s="1" t="str">
        <f t="shared" si="85"/>
        <v>Exchange1_mc</v>
      </c>
      <c r="L230" s="1" t="str">
        <f t="shared" si="86"/>
        <v>Exchange1_mc</v>
      </c>
      <c r="M230" s="1"/>
      <c r="N230" s="14" t="str">
        <f t="shared" ca="1" si="82"/>
        <v/>
      </c>
      <c r="O230" s="14" t="str">
        <f t="shared" ca="1" si="80"/>
        <v>Exchange1_mc::Exchange1_mc:MovieClip("tower/","Exchange1_mc","Exchange1_mc"{)</v>
      </c>
    </row>
    <row r="231" spans="1:15" x14ac:dyDescent="0.25">
      <c r="A231" s="1"/>
      <c r="B231" s="3" t="s">
        <v>85</v>
      </c>
      <c r="C231" s="1">
        <f t="shared" ca="1" si="83"/>
        <v>1</v>
      </c>
      <c r="D231" s="1" t="s">
        <v>78</v>
      </c>
      <c r="E231" s="1" t="s">
        <v>764</v>
      </c>
      <c r="F231" s="1" t="s">
        <v>764</v>
      </c>
      <c r="G231" s="1" t="s">
        <v>586</v>
      </c>
      <c r="H231" s="1" t="str">
        <f t="shared" ca="1" si="84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1"/>
        <v>createMovieClipSub</v>
      </c>
      <c r="K231" s="1" t="str">
        <f t="shared" si="85"/>
        <v>cross</v>
      </c>
      <c r="L231" s="1" t="str">
        <f t="shared" si="86"/>
        <v>cross</v>
      </c>
      <c r="M231" s="1"/>
      <c r="N231" s="14" t="str">
        <f t="shared" ca="1" si="82"/>
        <v>MovieClipSub * cross;</v>
      </c>
      <c r="O231" s="14" t="str">
        <f t="shared" ca="1" si="80"/>
        <v>cross= this-&gt;createMovieClipSub("cross");</v>
      </c>
    </row>
    <row r="232" spans="1:15" x14ac:dyDescent="0.25">
      <c r="A232" s="1"/>
      <c r="B232" s="3" t="s">
        <v>291</v>
      </c>
      <c r="C232" s="1">
        <f t="shared" ca="1" si="83"/>
        <v>1</v>
      </c>
      <c r="D232" s="1" t="s">
        <v>78</v>
      </c>
      <c r="E232" s="1" t="s">
        <v>764</v>
      </c>
      <c r="F232" s="1" t="s">
        <v>764</v>
      </c>
      <c r="G232" s="1" t="s">
        <v>669</v>
      </c>
      <c r="H232" s="1" t="str">
        <f t="shared" ca="1" si="84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1"/>
        <v>createCase</v>
      </c>
      <c r="K232" s="1" t="str">
        <f t="shared" si="85"/>
        <v>exchangeCase</v>
      </c>
      <c r="L232" s="1" t="str">
        <f t="shared" si="86"/>
        <v>exchangeCase</v>
      </c>
      <c r="M232" s="1"/>
      <c r="N232" s="14" t="str">
        <f t="shared" ca="1" si="82"/>
        <v>MCCase * exchangeCase;</v>
      </c>
      <c r="O232" s="14" t="str">
        <f t="shared" ca="1" si="80"/>
        <v>exchangeCase= this-&gt;createCase("exchangeCase");</v>
      </c>
    </row>
  </sheetData>
  <mergeCells count="7">
    <mergeCell ref="A129:A130"/>
    <mergeCell ref="A8:A11"/>
    <mergeCell ref="A45:A49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26"/>
  <sheetViews>
    <sheetView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O7" sqref="O7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769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74</v>
      </c>
      <c r="B2" s="1" t="s">
        <v>86</v>
      </c>
      <c r="C2" s="1">
        <f t="shared" ref="C2:C26" ca="1" si="0">indent(B2)</f>
        <v>0</v>
      </c>
      <c r="D2" s="1" t="s">
        <v>87</v>
      </c>
      <c r="E2" s="1" t="s">
        <v>708</v>
      </c>
      <c r="F2" s="1" t="s">
        <v>694</v>
      </c>
      <c r="G2" s="21" t="s">
        <v>587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4" t="str">
        <f ca="1">IF(C2&gt;0,G2 &amp; " * "&amp;H2 &amp;";","")</f>
        <v/>
      </c>
      <c r="O2" s="14" t="str">
        <f t="shared" ref="O2:O26" ca="1" si="2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BulletFireTower_mc::BulletFireTower_mc:MovieClip("sphere/","BulletFireTower_mc","BulletFireTower_mc"{)</v>
      </c>
    </row>
    <row r="3" spans="1:24" x14ac:dyDescent="0.25">
      <c r="A3" s="1"/>
      <c r="B3" s="1" t="s">
        <v>75</v>
      </c>
      <c r="C3" s="1">
        <f t="shared" ca="1" si="0"/>
        <v>0</v>
      </c>
      <c r="D3" s="1" t="s">
        <v>87</v>
      </c>
      <c r="E3" s="1" t="s">
        <v>708</v>
      </c>
      <c r="F3" s="1" t="s">
        <v>694</v>
      </c>
      <c r="G3" s="21" t="s">
        <v>587</v>
      </c>
      <c r="H3" s="1" t="str">
        <f t="shared" ref="H3:H5" ca="1" si="3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4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4" t="str">
        <f t="shared" ref="N3:N26" ca="1" si="5">IF(C3&gt;0,G3 &amp; " * "&amp;H3 &amp;";","")</f>
        <v/>
      </c>
      <c r="O3" s="14" t="str">
        <f t="shared" ca="1" si="2"/>
        <v>BulletIceTower_mc::BulletIceTower_mc:MovieClip("sphere/","BulletIceTower_mc","BulletIceTower_mc"{)</v>
      </c>
    </row>
    <row r="4" spans="1:24" x14ac:dyDescent="0.25">
      <c r="A4" s="1"/>
      <c r="B4" s="1" t="s">
        <v>76</v>
      </c>
      <c r="C4" s="1">
        <f t="shared" ca="1" si="0"/>
        <v>0</v>
      </c>
      <c r="D4" s="1" t="s">
        <v>87</v>
      </c>
      <c r="E4" s="1" t="s">
        <v>708</v>
      </c>
      <c r="F4" s="1" t="s">
        <v>694</v>
      </c>
      <c r="G4" s="21" t="s">
        <v>587</v>
      </c>
      <c r="H4" s="1" t="str">
        <f t="shared" ca="1" si="3"/>
        <v>BulletStoneTower_mc</v>
      </c>
      <c r="I4" s="1" t="str">
        <f ca="1">IF(C4&lt;2,"this",IF(C4=C3,I3,IF(C4&gt;C3,H3, LOOKUP(1,0/(H$2:H3=I3),I$2:I4))))</f>
        <v>this</v>
      </c>
      <c r="J4" s="1" t="str">
        <f t="shared" si="4"/>
        <v>createMovieClip</v>
      </c>
      <c r="K4" s="1" t="str">
        <f t="shared" si="1"/>
        <v>BulletStoneTower_mc</v>
      </c>
      <c r="L4" s="1"/>
      <c r="M4" s="1"/>
      <c r="N4" s="14" t="str">
        <f t="shared" ca="1" si="5"/>
        <v/>
      </c>
      <c r="O4" s="14" t="str">
        <f t="shared" ca="1" si="2"/>
        <v>BulletStoneTower_mc::BulletStoneTower_mc:MovieClip("sphere/","BulletStoneTower_mc","BulletStoneTower_mc"{)</v>
      </c>
    </row>
    <row r="5" spans="1:24" x14ac:dyDescent="0.25">
      <c r="A5" s="1"/>
      <c r="B5" s="1" t="s">
        <v>77</v>
      </c>
      <c r="C5" s="1">
        <f t="shared" ca="1" si="0"/>
        <v>0</v>
      </c>
      <c r="D5" s="1" t="s">
        <v>87</v>
      </c>
      <c r="E5" s="1" t="s">
        <v>708</v>
      </c>
      <c r="F5" s="1" t="s">
        <v>694</v>
      </c>
      <c r="G5" s="21" t="s">
        <v>587</v>
      </c>
      <c r="H5" s="1" t="str">
        <f t="shared" ca="1" si="3"/>
        <v>BulletLevinTower_mc</v>
      </c>
      <c r="I5" s="1" t="str">
        <f ca="1">IF(C5&lt;2,"this",IF(C5=C4,I4,IF(C5&gt;C4,H4, LOOKUP(1,0/(H$2:H4=I4),I$2:I5))))</f>
        <v>this</v>
      </c>
      <c r="J5" s="1" t="str">
        <f t="shared" si="4"/>
        <v>createMovieClip</v>
      </c>
      <c r="K5" s="1" t="str">
        <f t="shared" si="1"/>
        <v>BulletLevinTower_mc</v>
      </c>
      <c r="L5" s="1"/>
      <c r="M5" s="1"/>
      <c r="N5" s="14" t="str">
        <f t="shared" ca="1" si="5"/>
        <v/>
      </c>
      <c r="O5" s="14" t="str">
        <f t="shared" ca="1" si="2"/>
        <v>BulletLevinTower_mc::BulletLevinTower_mc:MovieClip("sphere/","BulletLevinTower_mc","BulletLevinTower_mc"{)</v>
      </c>
    </row>
    <row r="6" spans="1:24" x14ac:dyDescent="0.25">
      <c r="A6" s="1" t="s">
        <v>695</v>
      </c>
      <c r="B6" s="1" t="s">
        <v>693</v>
      </c>
      <c r="C6" s="1">
        <f t="shared" ca="1" si="0"/>
        <v>0</v>
      </c>
      <c r="D6" s="1" t="s">
        <v>87</v>
      </c>
      <c r="E6" s="1" t="s">
        <v>708</v>
      </c>
      <c r="F6" s="1" t="s">
        <v>694</v>
      </c>
      <c r="G6" s="21" t="s">
        <v>587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4" t="str">
        <f t="shared" ca="1" si="5"/>
        <v/>
      </c>
      <c r="O6" s="14" t="str">
        <f t="shared" ca="1" si="2"/>
        <v>BulletSphereTower_mc::BulletSphereTower_mc:MovieClip("sphere/","BulletSphereTower_mc","BulletSphereTower_mc"{)</v>
      </c>
    </row>
    <row r="7" spans="1:24" x14ac:dyDescent="0.25">
      <c r="A7" s="1"/>
      <c r="B7" s="3" t="s">
        <v>711</v>
      </c>
      <c r="C7" s="1">
        <f t="shared" ca="1" si="0"/>
        <v>1</v>
      </c>
      <c r="D7" s="1" t="s">
        <v>87</v>
      </c>
      <c r="E7" s="1" t="s">
        <v>708</v>
      </c>
      <c r="F7" s="1" t="s">
        <v>126</v>
      </c>
      <c r="G7" s="1" t="s">
        <v>586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4" t="str">
        <f ca="1">IF(C7&gt;0,G7 &amp; " * "&amp;H7 &amp;";","")</f>
        <v>MovieClipSub * cont;</v>
      </c>
      <c r="O7" s="14" t="str">
        <f t="shared" ca="1" si="2"/>
        <v>cont= this-&gt;createMovieClipSub("cont");</v>
      </c>
    </row>
    <row r="8" spans="1:24" x14ac:dyDescent="0.25">
      <c r="A8" s="1" t="s">
        <v>90</v>
      </c>
      <c r="B8" s="1" t="s">
        <v>88</v>
      </c>
      <c r="C8" s="1">
        <f t="shared" ca="1" si="0"/>
        <v>0</v>
      </c>
      <c r="D8" s="1" t="s">
        <v>87</v>
      </c>
      <c r="E8" s="1" t="s">
        <v>708</v>
      </c>
      <c r="F8" s="1" t="s">
        <v>126</v>
      </c>
      <c r="G8" s="21" t="s">
        <v>587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4"/>
        <v>createMovieClip</v>
      </c>
      <c r="K8" s="1" t="str">
        <f t="shared" si="1"/>
        <v>BulletTower5_1_mc</v>
      </c>
      <c r="L8" s="1"/>
      <c r="M8" s="1"/>
      <c r="N8" s="14" t="str">
        <f t="shared" ca="1" si="5"/>
        <v/>
      </c>
      <c r="O8" s="14" t="str">
        <f t="shared" ca="1" si="2"/>
        <v>BulletTower5_1_mc::BulletTower5_1_mc:MovieClip("sphere/","BulletTower5_1_mc","BulletTower5_1_mc"{)</v>
      </c>
    </row>
    <row r="9" spans="1:24" x14ac:dyDescent="0.25">
      <c r="A9" s="1"/>
      <c r="B9" s="1" t="s">
        <v>212</v>
      </c>
      <c r="C9" s="1">
        <f t="shared" ca="1" si="0"/>
        <v>0</v>
      </c>
      <c r="D9" s="1" t="s">
        <v>87</v>
      </c>
      <c r="E9" s="1" t="s">
        <v>708</v>
      </c>
      <c r="F9" s="1" t="s">
        <v>126</v>
      </c>
      <c r="G9" s="21" t="s">
        <v>587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4"/>
        <v>createMovieClip</v>
      </c>
      <c r="K9" s="1"/>
      <c r="L9" s="1"/>
      <c r="M9" s="1"/>
      <c r="N9" s="14" t="str">
        <f t="shared" ca="1" si="5"/>
        <v/>
      </c>
      <c r="O9" s="14" t="str">
        <f t="shared" ca="1" si="2"/>
        <v>BulletTower5_1Smoke1_mc::BulletTower5_1Smoke1_mc:MovieClip("sphere/","BulletTower5_1Smoke1_mc",""{)</v>
      </c>
    </row>
    <row r="10" spans="1:24" x14ac:dyDescent="0.25">
      <c r="A10" s="1"/>
      <c r="B10" s="1" t="s">
        <v>89</v>
      </c>
      <c r="C10" s="1">
        <f t="shared" ca="1" si="0"/>
        <v>0</v>
      </c>
      <c r="D10" s="1" t="s">
        <v>87</v>
      </c>
      <c r="E10" s="1" t="s">
        <v>708</v>
      </c>
      <c r="F10" s="1" t="s">
        <v>126</v>
      </c>
      <c r="G10" s="21" t="s">
        <v>587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4"/>
        <v>createMovieClip</v>
      </c>
      <c r="K10" s="1" t="str">
        <f t="shared" ref="K10:K15" si="12">B10</f>
        <v>BulletTower5_1Bang_mc</v>
      </c>
      <c r="L10" s="1"/>
      <c r="M10" s="1"/>
      <c r="N10" s="14" t="str">
        <f t="shared" ca="1" si="5"/>
        <v/>
      </c>
      <c r="O10" s="14" t="str">
        <f t="shared" ca="1" si="2"/>
        <v>BulletTower5_1Bang_mc::BulletTower5_1Bang_mc:MovieClip("sphere/","BulletTower5_1Bang_mc","BulletTower5_1Bang_mc"{)</v>
      </c>
    </row>
    <row r="11" spans="1:24" x14ac:dyDescent="0.25">
      <c r="A11" s="1"/>
      <c r="B11" s="1" t="s">
        <v>97</v>
      </c>
      <c r="C11" s="1">
        <f t="shared" ca="1" si="0"/>
        <v>0</v>
      </c>
      <c r="D11" s="1" t="s">
        <v>87</v>
      </c>
      <c r="E11" s="1" t="s">
        <v>708</v>
      </c>
      <c r="F11" s="1" t="s">
        <v>126</v>
      </c>
      <c r="G11" s="21" t="s">
        <v>587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4"/>
        <v>createMovieClip</v>
      </c>
      <c r="K11" s="1" t="str">
        <f t="shared" si="12"/>
        <v>BulletTower51_1_mc</v>
      </c>
      <c r="L11" s="1"/>
      <c r="M11" s="1"/>
      <c r="N11" s="14" t="str">
        <f t="shared" ca="1" si="5"/>
        <v/>
      </c>
      <c r="O11" s="14" t="str">
        <f t="shared" ca="1" si="2"/>
        <v>BulletTower51_1_mc::BulletTower51_1_mc:MovieClip("sphere/","BulletTower51_1_mc","BulletTower51_1_mc"{)</v>
      </c>
    </row>
    <row r="12" spans="1:24" x14ac:dyDescent="0.25">
      <c r="A12" s="1"/>
      <c r="B12" s="1" t="s">
        <v>96</v>
      </c>
      <c r="C12" s="1">
        <f t="shared" ca="1" si="0"/>
        <v>0</v>
      </c>
      <c r="D12" s="1" t="s">
        <v>87</v>
      </c>
      <c r="E12" s="1" t="s">
        <v>708</v>
      </c>
      <c r="F12" s="1" t="s">
        <v>126</v>
      </c>
      <c r="G12" s="21" t="s">
        <v>587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si="12"/>
        <v>BulletTower51_2_mc</v>
      </c>
      <c r="L12" s="1"/>
      <c r="M12" s="1"/>
      <c r="N12" s="14" t="str">
        <f t="shared" ca="1" si="5"/>
        <v/>
      </c>
      <c r="O12" s="14" t="str">
        <f t="shared" ca="1" si="2"/>
        <v>BulletTower51_2_mc::BulletTower51_2_mc:MovieClip("sphere/","BulletTower51_2_mc","BulletTower51_2_mc"{)</v>
      </c>
    </row>
    <row r="13" spans="1:24" x14ac:dyDescent="0.25">
      <c r="A13" s="1"/>
      <c r="B13" s="1" t="s">
        <v>95</v>
      </c>
      <c r="C13" s="1">
        <f t="shared" ca="1" si="0"/>
        <v>0</v>
      </c>
      <c r="D13" s="1" t="s">
        <v>87</v>
      </c>
      <c r="E13" s="1" t="s">
        <v>708</v>
      </c>
      <c r="F13" s="1" t="s">
        <v>126</v>
      </c>
      <c r="G13" s="21" t="s">
        <v>587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12"/>
        <v>BulletTower6_1_mc</v>
      </c>
      <c r="L13" s="1"/>
      <c r="M13" s="1"/>
      <c r="N13" s="14" t="str">
        <f t="shared" ca="1" si="5"/>
        <v/>
      </c>
      <c r="O13" s="14" t="str">
        <f t="shared" ca="1" si="2"/>
        <v>BulletTower6_1_mc::BulletTower6_1_mc:MovieClip("sphere/","BulletTower6_1_mc","BulletTower6_1_mc"{)</v>
      </c>
    </row>
    <row r="14" spans="1:24" x14ac:dyDescent="0.25">
      <c r="A14" s="1"/>
      <c r="B14" s="1" t="s">
        <v>94</v>
      </c>
      <c r="C14" s="1">
        <f t="shared" ca="1" si="0"/>
        <v>0</v>
      </c>
      <c r="D14" s="1" t="s">
        <v>87</v>
      </c>
      <c r="E14" s="1" t="s">
        <v>708</v>
      </c>
      <c r="F14" s="1" t="s">
        <v>126</v>
      </c>
      <c r="G14" s="21" t="s">
        <v>587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</v>
      </c>
      <c r="K14" s="1" t="str">
        <f t="shared" si="12"/>
        <v>BulletTower6_2_mc</v>
      </c>
      <c r="L14" s="1"/>
      <c r="M14" s="1"/>
      <c r="N14" s="14" t="str">
        <f t="shared" ca="1" si="5"/>
        <v/>
      </c>
      <c r="O14" s="14" t="str">
        <f t="shared" ca="1" si="2"/>
        <v>BulletTower6_2_mc::BulletTower6_2_mc:MovieClip("sphere/","BulletTower6_2_mc","BulletTower6_2_mc"{)</v>
      </c>
    </row>
    <row r="15" spans="1:24" x14ac:dyDescent="0.25">
      <c r="A15" s="1"/>
      <c r="B15" s="1" t="s">
        <v>93</v>
      </c>
      <c r="C15" s="1">
        <f t="shared" ca="1" si="0"/>
        <v>0</v>
      </c>
      <c r="D15" s="1" t="s">
        <v>87</v>
      </c>
      <c r="E15" s="1" t="s">
        <v>708</v>
      </c>
      <c r="F15" s="1" t="s">
        <v>126</v>
      </c>
      <c r="G15" s="21" t="s">
        <v>587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4"/>
        <v>createMovieClip</v>
      </c>
      <c r="K15" s="1" t="str">
        <f t="shared" si="12"/>
        <v>BulletTower61_mc</v>
      </c>
      <c r="L15" s="1"/>
      <c r="M15" s="1"/>
      <c r="N15" s="14" t="str">
        <f t="shared" ca="1" si="5"/>
        <v/>
      </c>
      <c r="O15" s="14" t="str">
        <f t="shared" ca="1" si="2"/>
        <v>BulletTower61_mc::BulletTower61_mc:MovieClip("sphere/","BulletTower61_mc","BulletTower61_mc"{)</v>
      </c>
    </row>
    <row r="16" spans="1:24" x14ac:dyDescent="0.25">
      <c r="A16" s="1"/>
      <c r="B16" s="1" t="s">
        <v>699</v>
      </c>
      <c r="C16" s="1">
        <f t="shared" ca="1" si="0"/>
        <v>0</v>
      </c>
      <c r="D16" s="1" t="s">
        <v>87</v>
      </c>
      <c r="E16" s="1" t="s">
        <v>708</v>
      </c>
      <c r="F16" s="1" t="s">
        <v>126</v>
      </c>
      <c r="G16" s="21" t="s">
        <v>587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/>
      <c r="L16" s="1"/>
      <c r="M16" s="1"/>
      <c r="N16" s="14" t="str">
        <f t="shared" ca="1" si="5"/>
        <v/>
      </c>
      <c r="O16" s="14" t="str">
        <f t="shared" ca="1" si="2"/>
        <v>BulletTower7_mc::BulletTower7_mc:MovieClip("sphere/","BulletTower7_mc",""{)</v>
      </c>
    </row>
    <row r="17" spans="1:15" x14ac:dyDescent="0.25">
      <c r="A17" s="1"/>
      <c r="B17" s="3" t="s">
        <v>91</v>
      </c>
      <c r="C17" s="1">
        <f t="shared" ca="1" si="0"/>
        <v>1</v>
      </c>
      <c r="D17" s="1" t="s">
        <v>87</v>
      </c>
      <c r="E17" s="1" t="s">
        <v>708</v>
      </c>
      <c r="F17" s="1" t="s">
        <v>126</v>
      </c>
      <c r="G17" s="1" t="s">
        <v>586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ball</v>
      </c>
      <c r="L17" s="1"/>
      <c r="M17" s="1"/>
      <c r="N17" s="14" t="str">
        <f t="shared" ca="1" si="5"/>
        <v>MovieClipSub * ball;</v>
      </c>
      <c r="O17" s="14" t="str">
        <f t="shared" ca="1" si="2"/>
        <v>ball= this-&gt;createMovieClipSub("ball");</v>
      </c>
    </row>
    <row r="18" spans="1:15" x14ac:dyDescent="0.25">
      <c r="A18" s="1"/>
      <c r="B18" s="3" t="s">
        <v>92</v>
      </c>
      <c r="C18" s="1">
        <f t="shared" ca="1" si="0"/>
        <v>1</v>
      </c>
      <c r="D18" s="1" t="s">
        <v>87</v>
      </c>
      <c r="E18" s="1" t="s">
        <v>708</v>
      </c>
      <c r="F18" s="1" t="s">
        <v>126</v>
      </c>
      <c r="G18" s="1" t="s">
        <v>586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createMovieClipSub</v>
      </c>
      <c r="K18" s="1" t="str">
        <f t="shared" ref="K18:K20" si="13">B18</f>
        <v>smoke</v>
      </c>
      <c r="L18" s="1"/>
      <c r="M18" s="1"/>
      <c r="N18" s="14" t="str">
        <f t="shared" ca="1" si="5"/>
        <v>MovieClipSub * smoke;</v>
      </c>
      <c r="O18" s="14" t="str">
        <f t="shared" ca="1" si="2"/>
        <v>smoke= this-&gt;createMovieClipSub("smoke");</v>
      </c>
    </row>
    <row r="19" spans="1:15" x14ac:dyDescent="0.25">
      <c r="A19" s="1"/>
      <c r="B19" s="4" t="s">
        <v>183</v>
      </c>
      <c r="C19" s="1">
        <f t="shared" ca="1" si="0"/>
        <v>2</v>
      </c>
      <c r="D19" s="1" t="s">
        <v>87</v>
      </c>
      <c r="E19" s="1" t="s">
        <v>708</v>
      </c>
      <c r="F19" s="1" t="s">
        <v>126</v>
      </c>
      <c r="G19" s="1" t="s">
        <v>586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4"/>
        <v>createMovieClipSub</v>
      </c>
      <c r="K19" s="1" t="str">
        <f t="shared" si="13"/>
        <v>cont1</v>
      </c>
      <c r="L19" s="1"/>
      <c r="M19" s="1"/>
      <c r="N19" s="14" t="str">
        <f t="shared" ca="1" si="5"/>
        <v>MovieClipSub * smokeCont1;</v>
      </c>
      <c r="O19" s="14" t="str">
        <f t="shared" ca="1" si="2"/>
        <v>smokeCont1= smoke-&gt;createMovieClipSub("cont1");</v>
      </c>
    </row>
    <row r="20" spans="1:15" x14ac:dyDescent="0.25">
      <c r="A20" s="1" t="s">
        <v>700</v>
      </c>
      <c r="B20" s="4" t="s">
        <v>205</v>
      </c>
      <c r="C20" s="1">
        <f t="shared" ca="1" si="0"/>
        <v>2</v>
      </c>
      <c r="D20" s="1" t="s">
        <v>87</v>
      </c>
      <c r="E20" s="1" t="s">
        <v>708</v>
      </c>
      <c r="F20" s="1" t="s">
        <v>126</v>
      </c>
      <c r="G20" s="1" t="s">
        <v>712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4"/>
        <v>createMovieClip</v>
      </c>
      <c r="K20" s="1" t="str">
        <f t="shared" si="13"/>
        <v>cont2</v>
      </c>
      <c r="L20" s="1" t="s">
        <v>700</v>
      </c>
      <c r="M20" s="1"/>
      <c r="N20" s="14" t="str">
        <f t="shared" ca="1" si="5"/>
        <v>MovieClip * smokeCont2;</v>
      </c>
      <c r="O20" s="14" t="str">
        <f t="shared" ca="1" si="2"/>
        <v>smokeCont2= smoke-&gt;createMovieClip("cont2","sphere/","BulletTower7_smoke_mc","cont2");</v>
      </c>
    </row>
    <row r="21" spans="1:15" x14ac:dyDescent="0.25">
      <c r="A21" s="1"/>
      <c r="B21" s="6" t="s">
        <v>713</v>
      </c>
      <c r="C21" s="1">
        <f t="shared" ca="1" si="0"/>
        <v>0</v>
      </c>
      <c r="D21" s="1" t="s">
        <v>87</v>
      </c>
      <c r="E21" s="1" t="s">
        <v>708</v>
      </c>
      <c r="F21" s="1" t="s">
        <v>126</v>
      </c>
      <c r="G21" s="21" t="s">
        <v>587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</v>
      </c>
      <c r="K21" s="1"/>
      <c r="L21" s="1"/>
      <c r="M21" s="1"/>
      <c r="N21" s="14" t="str">
        <f t="shared" ca="1" si="5"/>
        <v/>
      </c>
      <c r="O21" s="14" t="str">
        <f t="shared" ca="1" si="2"/>
        <v>BulletTower71_mc::BulletTower71_mc:MovieClip("sphere/","BulletTower71_mc",""{)</v>
      </c>
    </row>
    <row r="22" spans="1:15" x14ac:dyDescent="0.25">
      <c r="A22" s="1" t="s">
        <v>206</v>
      </c>
      <c r="B22" s="1" t="s">
        <v>207</v>
      </c>
      <c r="C22" s="1">
        <f t="shared" ca="1" si="0"/>
        <v>0</v>
      </c>
      <c r="D22" s="1" t="s">
        <v>87</v>
      </c>
      <c r="E22" s="1" t="s">
        <v>708</v>
      </c>
      <c r="F22" s="1" t="s">
        <v>126</v>
      </c>
      <c r="G22" s="21" t="s">
        <v>587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tr">
        <f>B22</f>
        <v>BulletTower7_smoke_mc</v>
      </c>
      <c r="L22" s="1"/>
      <c r="M22" s="1"/>
      <c r="N22" s="14" t="str">
        <f t="shared" ca="1" si="5"/>
        <v/>
      </c>
      <c r="O22" s="14" t="str">
        <f t="shared" ca="1" si="2"/>
        <v>BulletTower7_smoke_mc::BulletTower7_smoke_mc:MovieClip("sphere/","BulletTower7_smoke_mc","BulletTower7_smoke_mc"{)</v>
      </c>
    </row>
    <row r="23" spans="1:15" x14ac:dyDescent="0.25">
      <c r="A23" s="1"/>
      <c r="B23" s="1" t="s">
        <v>100</v>
      </c>
      <c r="C23" s="1">
        <f t="shared" ca="1" si="0"/>
        <v>0</v>
      </c>
      <c r="D23" s="1" t="s">
        <v>87</v>
      </c>
      <c r="E23" s="1" t="s">
        <v>708</v>
      </c>
      <c r="F23" s="1" t="s">
        <v>126</v>
      </c>
      <c r="G23" s="21" t="s">
        <v>587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</v>
      </c>
      <c r="K23" s="1" t="str">
        <f>B23</f>
        <v>BulletTower8_1_mc</v>
      </c>
      <c r="L23" s="1"/>
      <c r="M23" s="1"/>
      <c r="N23" s="14" t="str">
        <f t="shared" ca="1" si="5"/>
        <v/>
      </c>
      <c r="O23" s="14" t="str">
        <f t="shared" ca="1" si="2"/>
        <v>BulletTower8_1_mc::BulletTower8_1_mc:MovieClip("sphere/","BulletTower8_1_mc","BulletTower8_1_mc"{)</v>
      </c>
    </row>
    <row r="24" spans="1:15" x14ac:dyDescent="0.25">
      <c r="A24" s="1"/>
      <c r="B24" s="1" t="s">
        <v>99</v>
      </c>
      <c r="C24" s="1">
        <f t="shared" ca="1" si="0"/>
        <v>0</v>
      </c>
      <c r="D24" s="1" t="s">
        <v>87</v>
      </c>
      <c r="E24" s="1" t="s">
        <v>708</v>
      </c>
      <c r="F24" s="1" t="s">
        <v>126</v>
      </c>
      <c r="G24" s="21" t="s">
        <v>587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tr">
        <f>B24</f>
        <v>BulletTower8_2_mc</v>
      </c>
      <c r="L24" s="1"/>
      <c r="M24" s="1"/>
      <c r="N24" s="14" t="str">
        <f t="shared" ca="1" si="5"/>
        <v/>
      </c>
      <c r="O24" s="14" t="str">
        <f t="shared" ca="1" si="2"/>
        <v>BulletTower8_2_mc::BulletTower8_2_mc:MovieClip("sphere/","BulletTower8_2_mc","BulletTower8_2_mc"{)</v>
      </c>
    </row>
    <row r="25" spans="1:15" x14ac:dyDescent="0.25">
      <c r="A25" s="1"/>
      <c r="B25" s="1" t="s">
        <v>98</v>
      </c>
      <c r="C25" s="1">
        <f t="shared" ca="1" si="0"/>
        <v>0</v>
      </c>
      <c r="D25" s="1" t="s">
        <v>87</v>
      </c>
      <c r="E25" s="1" t="s">
        <v>708</v>
      </c>
      <c r="F25" s="1" t="s">
        <v>126</v>
      </c>
      <c r="G25" s="21" t="s">
        <v>587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</v>
      </c>
      <c r="K25" s="1" t="str">
        <f>B25</f>
        <v>BulletTower81_mc</v>
      </c>
      <c r="L25" s="1"/>
      <c r="M25" s="1"/>
      <c r="N25" s="14" t="str">
        <f t="shared" ca="1" si="5"/>
        <v/>
      </c>
      <c r="O25" s="14" t="str">
        <f t="shared" ca="1" si="2"/>
        <v>BulletTower81_mc::BulletTower81_mc:MovieClip("sphere/","BulletTower81_mc","BulletTower81_mc"{)</v>
      </c>
    </row>
    <row r="26" spans="1:15" x14ac:dyDescent="0.25">
      <c r="A26" s="1" t="s">
        <v>208</v>
      </c>
      <c r="B26" s="1" t="s">
        <v>701</v>
      </c>
      <c r="C26" s="1">
        <f t="shared" ca="1" si="0"/>
        <v>0</v>
      </c>
      <c r="D26" s="1" t="s">
        <v>87</v>
      </c>
      <c r="E26" s="1" t="s">
        <v>708</v>
      </c>
      <c r="F26" s="1" t="s">
        <v>126</v>
      </c>
      <c r="G26" s="21" t="s">
        <v>702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4"/>
        <v>createSprite</v>
      </c>
      <c r="K26" s="1" t="str">
        <f>B26</f>
        <v>UnitShadow_mc</v>
      </c>
      <c r="L26" s="1"/>
      <c r="M26" s="1"/>
      <c r="N26" s="14" t="str">
        <f t="shared" ca="1" si="5"/>
        <v/>
      </c>
      <c r="O26" s="14" t="str">
        <f t="shared" ca="1" si="2"/>
        <v>UnitShadow_mc::UnitShadow_mc:Sprite("sphere/","UnitShadow_mc","UnitShadow_mc"{)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223"/>
  <sheetViews>
    <sheetView zoomScale="85" zoomScaleNormal="85" workbookViewId="0">
      <pane xSplit="2" ySplit="1" topLeftCell="J37" activePane="bottomRight" state="frozen"/>
      <selection pane="topRight" activeCell="C1" sqref="C1"/>
      <selection pane="bottomLeft" activeCell="A2" sqref="A2"/>
      <selection pane="bottomRight" activeCell="O65" sqref="O65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20.44140625" customWidth="1"/>
    <col min="15" max="15" width="58.66406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769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6" t="s">
        <v>79</v>
      </c>
      <c r="B2" s="1" t="s">
        <v>634</v>
      </c>
      <c r="C2" s="1">
        <f t="shared" ref="C2:C70" ca="1" si="0">indent(B2)</f>
        <v>0</v>
      </c>
      <c r="D2" s="1" t="s">
        <v>263</v>
      </c>
      <c r="E2" s="1" t="s">
        <v>126</v>
      </c>
      <c r="F2" s="1" t="s">
        <v>620</v>
      </c>
      <c r="G2" s="21" t="s">
        <v>587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4" t="str">
        <f ca="1">IF(C2&gt;0,G2 &amp; " * "&amp;H2 &amp;";","")</f>
        <v/>
      </c>
      <c r="O2" s="14" t="str">
        <f t="shared" ref="O2:O65" ca="1" si="2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GetSphere_mc::GetSphere_mc:MovieClip("worldinterface/","GetSphere_mc","GetSphere_mc"{)</v>
      </c>
    </row>
    <row r="3" spans="1:24" x14ac:dyDescent="0.25">
      <c r="A3" s="6"/>
      <c r="B3" s="3" t="s">
        <v>80</v>
      </c>
      <c r="C3" s="1">
        <f t="shared" ref="C3:C11" ca="1" si="3">indent(B3)</f>
        <v>1</v>
      </c>
      <c r="D3" s="1" t="s">
        <v>263</v>
      </c>
      <c r="E3" s="1" t="s">
        <v>126</v>
      </c>
      <c r="F3" s="1" t="s">
        <v>620</v>
      </c>
      <c r="G3" s="1" t="s">
        <v>586</v>
      </c>
      <c r="H3" s="1" t="str">
        <f t="shared" ref="H3:H13" ca="1" si="4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5">CONCATENATE("create",IF(LEFT(G3,2)="MC",MID(G3,3,LEN(G3)),G3))</f>
        <v>createMovieClipSub</v>
      </c>
      <c r="K3" s="1" t="str">
        <f t="shared" si="1"/>
        <v>cont</v>
      </c>
      <c r="L3" s="1"/>
      <c r="M3" s="1"/>
      <c r="N3" s="14" t="str">
        <f t="shared" ref="N3:N66" ca="1" si="6">IF(C3&gt;0,G3 &amp; " * "&amp;H3 &amp;";","")</f>
        <v>MovieClipSub * cont;</v>
      </c>
      <c r="O3" s="14" t="str">
        <f t="shared" ca="1" si="2"/>
        <v>cont= this-&gt;createMovieClipSub("cont");</v>
      </c>
    </row>
    <row r="4" spans="1:24" x14ac:dyDescent="0.25">
      <c r="A4" s="6"/>
      <c r="B4" s="3" t="s">
        <v>81</v>
      </c>
      <c r="C4" s="1">
        <f t="shared" ca="1" si="3"/>
        <v>1</v>
      </c>
      <c r="D4" s="1" t="s">
        <v>263</v>
      </c>
      <c r="E4" s="1" t="s">
        <v>126</v>
      </c>
      <c r="F4" s="1" t="s">
        <v>620</v>
      </c>
      <c r="G4" s="1" t="s">
        <v>586</v>
      </c>
      <c r="H4" s="1" t="str">
        <f t="shared" ca="1" si="4"/>
        <v>sphere1</v>
      </c>
      <c r="I4" s="1" t="str">
        <f ca="1">IF(C4&lt;2,"this",IF(C4=C3,I3,IF(C4&gt;C3,H3, LOOKUP(1,0/(H$2:H3=I3),I$2:I4))))</f>
        <v>this</v>
      </c>
      <c r="J4" s="1" t="str">
        <f t="shared" si="5"/>
        <v>createMovieClipSub</v>
      </c>
      <c r="K4" s="1" t="str">
        <f t="shared" si="1"/>
        <v>sphere1</v>
      </c>
      <c r="L4" s="1"/>
      <c r="M4" s="1"/>
      <c r="N4" s="14" t="str">
        <f t="shared" ca="1" si="6"/>
        <v>MovieClipSub * sphere1;</v>
      </c>
      <c r="O4" s="14" t="str">
        <f t="shared" ca="1" si="2"/>
        <v>sphere1= this-&gt;createMovieClipSub("sphere1");</v>
      </c>
    </row>
    <row r="5" spans="1:24" x14ac:dyDescent="0.25">
      <c r="A5" s="6" t="s">
        <v>636</v>
      </c>
      <c r="B5" s="4" t="s">
        <v>635</v>
      </c>
      <c r="C5" s="1">
        <f t="shared" ca="1" si="3"/>
        <v>2</v>
      </c>
      <c r="D5" s="1" t="s">
        <v>263</v>
      </c>
      <c r="E5" s="1" t="s">
        <v>126</v>
      </c>
      <c r="F5" s="1" t="s">
        <v>620</v>
      </c>
      <c r="G5" s="1" t="s">
        <v>586</v>
      </c>
      <c r="H5" s="1" t="str">
        <f t="shared" ca="1" si="4"/>
        <v>sphere1Cont</v>
      </c>
      <c r="I5" s="1" t="str">
        <f ca="1">IF(C5&lt;2,"this",IF(C5=C4,I4,IF(C5&gt;C4,H4, LOOKUP(1,0/(H$2:H4=I4),I$2:I5))))</f>
        <v>sphere1</v>
      </c>
      <c r="J5" s="1" t="str">
        <f t="shared" si="5"/>
        <v>createMovieClipSub</v>
      </c>
      <c r="K5" s="1" t="str">
        <f t="shared" si="1"/>
        <v>cont</v>
      </c>
      <c r="L5" s="1"/>
      <c r="M5" s="1"/>
      <c r="N5" s="14" t="str">
        <f t="shared" ca="1" si="6"/>
        <v>MovieClipSub * sphere1Cont;</v>
      </c>
      <c r="O5" s="14" t="str">
        <f t="shared" ca="1" si="2"/>
        <v>sphere1Cont= sphere1-&gt;createMovieClipSub("cont");</v>
      </c>
    </row>
    <row r="6" spans="1:24" x14ac:dyDescent="0.25">
      <c r="A6" s="6"/>
      <c r="B6" s="3" t="s">
        <v>82</v>
      </c>
      <c r="C6" s="1">
        <f t="shared" ca="1" si="3"/>
        <v>1</v>
      </c>
      <c r="D6" s="1" t="s">
        <v>263</v>
      </c>
      <c r="E6" s="1" t="s">
        <v>126</v>
      </c>
      <c r="F6" s="1" t="s">
        <v>620</v>
      </c>
      <c r="G6" s="1" t="s">
        <v>586</v>
      </c>
      <c r="H6" s="1" t="str">
        <f t="shared" ca="1" si="4"/>
        <v>sphere2</v>
      </c>
      <c r="I6" s="1" t="str">
        <f ca="1">IF(C6&lt;2,"this",IF(C6=C5,I5,IF(C6&gt;C5,H5, LOOKUP(1,0/(H$2:H5=I5),I$2:I6))))</f>
        <v>this</v>
      </c>
      <c r="J6" s="1" t="str">
        <f t="shared" si="5"/>
        <v>createMovieClipSub</v>
      </c>
      <c r="K6" s="1" t="str">
        <f t="shared" si="1"/>
        <v>sphere2</v>
      </c>
      <c r="L6" s="1"/>
      <c r="M6" s="1"/>
      <c r="N6" s="14" t="str">
        <f t="shared" ca="1" si="6"/>
        <v>MovieClipSub * sphere2;</v>
      </c>
      <c r="O6" s="14" t="str">
        <f t="shared" ca="1" si="2"/>
        <v>sphere2= this-&gt;createMovieClipSub("sphere2");</v>
      </c>
    </row>
    <row r="7" spans="1:24" x14ac:dyDescent="0.25">
      <c r="A7" s="6" t="s">
        <v>636</v>
      </c>
      <c r="B7" s="4" t="s">
        <v>635</v>
      </c>
      <c r="C7" s="1">
        <f t="shared" ca="1" si="3"/>
        <v>2</v>
      </c>
      <c r="D7" s="1" t="s">
        <v>263</v>
      </c>
      <c r="E7" s="1" t="s">
        <v>126</v>
      </c>
      <c r="F7" s="1" t="s">
        <v>620</v>
      </c>
      <c r="G7" s="1" t="s">
        <v>586</v>
      </c>
      <c r="H7" s="1" t="str">
        <f t="shared" ca="1" si="4"/>
        <v>sphere2Cont</v>
      </c>
      <c r="I7" s="1" t="str">
        <f ca="1">IF(C7&lt;2,"this",IF(C7=C6,I6,IF(C7&gt;C6,H6, LOOKUP(1,0/(H$2:H6=I6),I$2:I7))))</f>
        <v>sphere2</v>
      </c>
      <c r="J7" s="1" t="str">
        <f t="shared" si="5"/>
        <v>createMovieClipSub</v>
      </c>
      <c r="K7" s="1" t="str">
        <f t="shared" si="1"/>
        <v>cont</v>
      </c>
      <c r="L7" s="1"/>
      <c r="M7" s="1"/>
      <c r="N7" s="14" t="str">
        <f t="shared" ca="1" si="6"/>
        <v>MovieClipSub * sphere2Cont;</v>
      </c>
      <c r="O7" s="14" t="str">
        <f t="shared" ca="1" si="2"/>
        <v>sphere2Cont= sphere2-&gt;createMovieClipSub("cont");</v>
      </c>
    </row>
    <row r="8" spans="1:24" x14ac:dyDescent="0.25">
      <c r="A8" s="6"/>
      <c r="B8" s="3" t="s">
        <v>83</v>
      </c>
      <c r="C8" s="1">
        <f t="shared" ca="1" si="3"/>
        <v>1</v>
      </c>
      <c r="D8" s="1" t="s">
        <v>263</v>
      </c>
      <c r="E8" s="1" t="s">
        <v>126</v>
      </c>
      <c r="F8" s="1" t="s">
        <v>620</v>
      </c>
      <c r="G8" s="1" t="s">
        <v>586</v>
      </c>
      <c r="H8" s="1" t="str">
        <f t="shared" ca="1" si="4"/>
        <v>sphere3</v>
      </c>
      <c r="I8" s="1" t="str">
        <f ca="1">IF(C8&lt;2,"this",IF(C8=C7,I7,IF(C8&gt;C7,H7, LOOKUP(1,0/(H$2:H7=I7),I$2:I8))))</f>
        <v>this</v>
      </c>
      <c r="J8" s="1" t="str">
        <f t="shared" si="5"/>
        <v>createMovieClipSub</v>
      </c>
      <c r="K8" s="1" t="str">
        <f t="shared" si="1"/>
        <v>sphere3</v>
      </c>
      <c r="L8" s="1"/>
      <c r="M8" s="1"/>
      <c r="N8" s="14" t="str">
        <f t="shared" ca="1" si="6"/>
        <v>MovieClipSub * sphere3;</v>
      </c>
      <c r="O8" s="14" t="str">
        <f t="shared" ca="1" si="2"/>
        <v>sphere3= this-&gt;createMovieClipSub("sphere3");</v>
      </c>
    </row>
    <row r="9" spans="1:24" x14ac:dyDescent="0.25">
      <c r="A9" s="6" t="s">
        <v>636</v>
      </c>
      <c r="B9" s="4" t="s">
        <v>635</v>
      </c>
      <c r="C9" s="1">
        <f t="shared" ca="1" si="3"/>
        <v>2</v>
      </c>
      <c r="D9" s="1" t="s">
        <v>263</v>
      </c>
      <c r="E9" s="1" t="s">
        <v>126</v>
      </c>
      <c r="F9" s="1" t="s">
        <v>620</v>
      </c>
      <c r="G9" s="1" t="s">
        <v>586</v>
      </c>
      <c r="H9" s="1" t="str">
        <f t="shared" ca="1" si="4"/>
        <v>sphere3Cont</v>
      </c>
      <c r="I9" s="1" t="str">
        <f ca="1">IF(C9&lt;2,"this",IF(C9=C8,I8,IF(C9&gt;C8,H8, LOOKUP(1,0/(H$2:H8=I8),I$2:I9))))</f>
        <v>sphere3</v>
      </c>
      <c r="J9" s="1" t="str">
        <f t="shared" si="5"/>
        <v>createMovieClipSub</v>
      </c>
      <c r="K9" s="1" t="str">
        <f t="shared" si="1"/>
        <v>cont</v>
      </c>
      <c r="L9" s="1"/>
      <c r="M9" s="1"/>
      <c r="N9" s="14" t="str">
        <f t="shared" ca="1" si="6"/>
        <v>MovieClipSub * sphere3Cont;</v>
      </c>
      <c r="O9" s="14" t="str">
        <f t="shared" ca="1" si="2"/>
        <v>sphere3Cont= sphere3-&gt;createMovieClipSub("cont");</v>
      </c>
    </row>
    <row r="10" spans="1:24" x14ac:dyDescent="0.25">
      <c r="A10" s="6"/>
      <c r="B10" s="3" t="s">
        <v>84</v>
      </c>
      <c r="C10" s="1">
        <f t="shared" ca="1" si="3"/>
        <v>1</v>
      </c>
      <c r="D10" s="1" t="s">
        <v>263</v>
      </c>
      <c r="E10" s="1" t="s">
        <v>126</v>
      </c>
      <c r="F10" s="1" t="s">
        <v>620</v>
      </c>
      <c r="G10" s="1" t="s">
        <v>586</v>
      </c>
      <c r="H10" s="1" t="str">
        <f t="shared" ca="1" si="4"/>
        <v>sphere4</v>
      </c>
      <c r="I10" s="1" t="str">
        <f ca="1">IF(C10&lt;2,"this",IF(C10=C9,I9,IF(C10&gt;C9,H9, LOOKUP(1,0/(H$2:H9=I9),I$2:I10))))</f>
        <v>this</v>
      </c>
      <c r="J10" s="1" t="str">
        <f t="shared" si="5"/>
        <v>createMovieClipSub</v>
      </c>
      <c r="K10" s="1" t="str">
        <f t="shared" si="1"/>
        <v>sphere4</v>
      </c>
      <c r="L10" s="1"/>
      <c r="M10" s="1"/>
      <c r="N10" s="14" t="str">
        <f t="shared" ca="1" si="6"/>
        <v>MovieClipSub * sphere4;</v>
      </c>
      <c r="O10" s="14" t="str">
        <f t="shared" ca="1" si="2"/>
        <v>sphere4= this-&gt;createMovieClipSub("sphere4");</v>
      </c>
    </row>
    <row r="11" spans="1:24" x14ac:dyDescent="0.25">
      <c r="A11" s="6" t="s">
        <v>636</v>
      </c>
      <c r="B11" s="4" t="s">
        <v>635</v>
      </c>
      <c r="C11" s="1">
        <f t="shared" ca="1" si="3"/>
        <v>2</v>
      </c>
      <c r="D11" s="1" t="s">
        <v>263</v>
      </c>
      <c r="E11" s="1" t="s">
        <v>126</v>
      </c>
      <c r="F11" s="1" t="s">
        <v>620</v>
      </c>
      <c r="G11" s="1" t="s">
        <v>586</v>
      </c>
      <c r="H11" s="1" t="str">
        <f t="shared" ca="1" si="4"/>
        <v>sphere4Cont</v>
      </c>
      <c r="I11" s="1" t="str">
        <f ca="1">IF(C11&lt;2,"this",IF(C11=C10,I10,IF(C11&gt;C10,H10, LOOKUP(1,0/(H$2:H10=I10),I$2:I11))))</f>
        <v>sphere4</v>
      </c>
      <c r="J11" s="1" t="str">
        <f t="shared" si="5"/>
        <v>createMovieClipSub</v>
      </c>
      <c r="K11" s="1" t="str">
        <f t="shared" si="1"/>
        <v>cont</v>
      </c>
      <c r="L11" s="1"/>
      <c r="M11" s="1"/>
      <c r="N11" s="14" t="str">
        <f t="shared" ca="1" si="6"/>
        <v>MovieClipSub * sphere4Cont;</v>
      </c>
      <c r="O11" s="14" t="str">
        <f t="shared" ca="1" si="2"/>
        <v>sphere4Cont= sphere4-&gt;createMovieClipSub("cont");</v>
      </c>
    </row>
    <row r="12" spans="1:24" x14ac:dyDescent="0.25">
      <c r="A12" s="6"/>
      <c r="B12" s="1" t="s">
        <v>637</v>
      </c>
      <c r="C12" s="1">
        <f t="shared" ca="1" si="0"/>
        <v>0</v>
      </c>
      <c r="D12" s="1" t="s">
        <v>263</v>
      </c>
      <c r="E12" s="1" t="s">
        <v>620</v>
      </c>
      <c r="F12" s="1" t="s">
        <v>620</v>
      </c>
      <c r="G12" s="21" t="s">
        <v>587</v>
      </c>
      <c r="H12" s="1" t="str">
        <f t="shared" ca="1" si="4"/>
        <v>Arrow_mc</v>
      </c>
      <c r="I12" s="1" t="str">
        <f ca="1">IF(C12&lt;2,"this",IF(C12=C11,I11,IF(C12&gt;C11,H11, LOOKUP(1,0/(H$2:H11=I11),I$2:I12))))</f>
        <v>this</v>
      </c>
      <c r="J12" s="1" t="str">
        <f t="shared" si="5"/>
        <v>createMovieClip</v>
      </c>
      <c r="K12" s="1" t="str">
        <f t="shared" ref="K12:K35" si="7">B12</f>
        <v>Arrow_mc</v>
      </c>
      <c r="L12" s="1"/>
      <c r="M12" s="1"/>
      <c r="N12" s="14" t="str">
        <f t="shared" ca="1" si="6"/>
        <v/>
      </c>
      <c r="O12" s="14" t="str">
        <f t="shared" ca="1" si="2"/>
        <v>Arrow_mc::Arrow_mc:MovieClip("worldinterface/","Arrow_mc","Arrow_mc"{)</v>
      </c>
    </row>
    <row r="13" spans="1:24" x14ac:dyDescent="0.25">
      <c r="A13" s="6"/>
      <c r="B13" s="1" t="s">
        <v>649</v>
      </c>
      <c r="C13" s="1">
        <f t="shared" ca="1" si="0"/>
        <v>0</v>
      </c>
      <c r="D13" s="1" t="s">
        <v>263</v>
      </c>
      <c r="E13" s="1" t="s">
        <v>126</v>
      </c>
      <c r="F13" s="1" t="s">
        <v>126</v>
      </c>
      <c r="G13" s="21" t="s">
        <v>587</v>
      </c>
      <c r="H13" s="1" t="str">
        <f t="shared" ca="1" si="4"/>
        <v>GetAll_mc</v>
      </c>
      <c r="I13" s="1" t="str">
        <f ca="1">IF(C13&lt;2,"this",IF(C13=C12,I12,IF(C13&gt;C12,H12, LOOKUP(1,0/(H$2:H12=I12),I$2:I13))))</f>
        <v>this</v>
      </c>
      <c r="J13" s="1" t="str">
        <f t="shared" si="5"/>
        <v>createMovieClip</v>
      </c>
      <c r="K13" s="1" t="str">
        <f t="shared" si="7"/>
        <v>GetAll_mc</v>
      </c>
      <c r="L13" s="1"/>
      <c r="M13" s="1"/>
      <c r="N13" s="14" t="str">
        <f t="shared" ca="1" si="6"/>
        <v/>
      </c>
      <c r="O13" s="14" t="str">
        <f t="shared" ca="1" si="2"/>
        <v>GetAll_mc::GetAll_mc:MovieClip("worldinterface/","GetAll_mc","GetAll_mc"{)</v>
      </c>
    </row>
    <row r="14" spans="1:24" x14ac:dyDescent="0.25">
      <c r="A14" s="6"/>
      <c r="B14" s="3" t="s">
        <v>217</v>
      </c>
      <c r="C14" s="1">
        <f t="shared" ca="1" si="0"/>
        <v>1</v>
      </c>
      <c r="D14" s="1" t="s">
        <v>263</v>
      </c>
      <c r="E14" s="1" t="s">
        <v>126</v>
      </c>
      <c r="F14" s="1" t="s">
        <v>126</v>
      </c>
      <c r="G14" s="1" t="s">
        <v>671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5"/>
        <v>createText</v>
      </c>
      <c r="K14" s="1" t="str">
        <f t="shared" si="7"/>
        <v>numTXT</v>
      </c>
      <c r="L14" s="1"/>
      <c r="M14" s="1"/>
      <c r="N14" s="14" t="str">
        <f t="shared" ca="1" si="6"/>
        <v>MCText * numTXT;</v>
      </c>
      <c r="O14" s="14" t="str">
        <f t="shared" ca="1" si="2"/>
        <v>numTXT= this-&gt;createText("numTXT");</v>
      </c>
    </row>
    <row r="15" spans="1:24" x14ac:dyDescent="0.25">
      <c r="A15" s="6"/>
      <c r="B15" s="3" t="s">
        <v>85</v>
      </c>
      <c r="C15" s="1">
        <f t="shared" ca="1" si="0"/>
        <v>1</v>
      </c>
      <c r="D15" s="1" t="s">
        <v>263</v>
      </c>
      <c r="E15" s="1" t="s">
        <v>126</v>
      </c>
      <c r="F15" s="1" t="s">
        <v>126</v>
      </c>
      <c r="G15" s="1" t="s">
        <v>676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5"/>
        <v>createSprite</v>
      </c>
      <c r="K15" s="1" t="str">
        <f t="shared" si="7"/>
        <v>cross</v>
      </c>
      <c r="L15" s="1"/>
      <c r="M15" s="1"/>
      <c r="N15" s="14" t="str">
        <f t="shared" ca="1" si="6"/>
        <v>Sprite * cross;</v>
      </c>
      <c r="O15" s="14" t="str">
        <f t="shared" ca="1" si="2"/>
        <v>cross= this-&gt;createSprite("cross");</v>
      </c>
    </row>
    <row r="16" spans="1:24" x14ac:dyDescent="0.25">
      <c r="A16" s="64" t="s">
        <v>640</v>
      </c>
      <c r="B16" s="1" t="s">
        <v>213</v>
      </c>
      <c r="C16" s="1">
        <f t="shared" ca="1" si="0"/>
        <v>0</v>
      </c>
      <c r="D16" s="1" t="s">
        <v>263</v>
      </c>
      <c r="E16" s="1" t="s">
        <v>641</v>
      </c>
      <c r="F16" s="1" t="s">
        <v>641</v>
      </c>
      <c r="G16" s="21" t="s">
        <v>587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5"/>
        <v>createMovieClip</v>
      </c>
      <c r="K16" s="1" t="s">
        <v>639</v>
      </c>
      <c r="L16" s="1"/>
      <c r="M16" s="1"/>
      <c r="N16" s="14" t="str">
        <f t="shared" ca="1" si="6"/>
        <v/>
      </c>
      <c r="O16" s="14" t="str">
        <f t="shared" ca="1" si="2"/>
        <v>RadiusFire_mc::RadiusFire_mc:MovieClip("worldinterface/","RadiusFire_mc","RadiusSphere_mc"{)</v>
      </c>
    </row>
    <row r="17" spans="1:15" x14ac:dyDescent="0.25">
      <c r="A17" s="65"/>
      <c r="B17" s="3" t="s">
        <v>80</v>
      </c>
      <c r="C17" s="1">
        <f t="shared" ca="1" si="0"/>
        <v>1</v>
      </c>
      <c r="D17" s="1" t="s">
        <v>263</v>
      </c>
      <c r="E17" s="1" t="s">
        <v>641</v>
      </c>
      <c r="F17" s="1" t="s">
        <v>641</v>
      </c>
      <c r="G17" s="1" t="s">
        <v>586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5"/>
        <v>createMovieClipSub</v>
      </c>
      <c r="K17" s="1" t="str">
        <f>B17</f>
        <v>cont</v>
      </c>
      <c r="L17" s="1"/>
      <c r="M17" s="1"/>
      <c r="N17" s="14" t="str">
        <f t="shared" ca="1" si="6"/>
        <v>MovieClipSub * cont;</v>
      </c>
      <c r="O17" s="14" t="str">
        <f t="shared" ca="1" si="2"/>
        <v>cont= this-&gt;createMovieClipSub("cont");</v>
      </c>
    </row>
    <row r="18" spans="1:15" x14ac:dyDescent="0.25">
      <c r="A18" s="65"/>
      <c r="B18" s="1" t="s">
        <v>214</v>
      </c>
      <c r="C18" s="1">
        <f t="shared" ca="1" si="0"/>
        <v>0</v>
      </c>
      <c r="D18" s="1" t="s">
        <v>263</v>
      </c>
      <c r="E18" s="1" t="s">
        <v>641</v>
      </c>
      <c r="F18" s="1" t="s">
        <v>641</v>
      </c>
      <c r="G18" s="21" t="s">
        <v>587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5"/>
        <v>createMovieClip</v>
      </c>
      <c r="K18" s="1" t="s">
        <v>639</v>
      </c>
      <c r="L18" s="1"/>
      <c r="M18" s="1"/>
      <c r="N18" s="14" t="str">
        <f t="shared" ca="1" si="6"/>
        <v/>
      </c>
      <c r="O18" s="14" t="str">
        <f t="shared" ca="1" si="2"/>
        <v>RadiusIce_mc::RadiusIce_mc:MovieClip("worldinterface/","RadiusIce_mc","RadiusSphere_mc"{)</v>
      </c>
    </row>
    <row r="19" spans="1:15" x14ac:dyDescent="0.25">
      <c r="A19" s="65"/>
      <c r="B19" s="3" t="s">
        <v>80</v>
      </c>
      <c r="C19" s="1">
        <f t="shared" ca="1" si="0"/>
        <v>1</v>
      </c>
      <c r="D19" s="1" t="s">
        <v>263</v>
      </c>
      <c r="E19" s="1" t="s">
        <v>641</v>
      </c>
      <c r="F19" s="1" t="s">
        <v>641</v>
      </c>
      <c r="G19" s="1" t="s">
        <v>586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5"/>
        <v>createMovieClipSub</v>
      </c>
      <c r="K19" s="1" t="str">
        <f>B19</f>
        <v>cont</v>
      </c>
      <c r="L19" s="1"/>
      <c r="M19" s="1"/>
      <c r="N19" s="14" t="str">
        <f t="shared" ca="1" si="6"/>
        <v>MovieClipSub * cont;</v>
      </c>
      <c r="O19" s="14" t="str">
        <f t="shared" ca="1" si="2"/>
        <v>cont= this-&gt;createMovieClipSub("cont");</v>
      </c>
    </row>
    <row r="20" spans="1:15" x14ac:dyDescent="0.25">
      <c r="A20" s="65"/>
      <c r="B20" s="1" t="s">
        <v>215</v>
      </c>
      <c r="C20" s="1">
        <f t="shared" ca="1" si="0"/>
        <v>0</v>
      </c>
      <c r="D20" s="1" t="s">
        <v>263</v>
      </c>
      <c r="E20" s="1" t="s">
        <v>641</v>
      </c>
      <c r="F20" s="1" t="s">
        <v>641</v>
      </c>
      <c r="G20" s="21" t="s">
        <v>587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5"/>
        <v>createMovieClip</v>
      </c>
      <c r="K20" s="1" t="s">
        <v>639</v>
      </c>
      <c r="L20" s="1"/>
      <c r="M20" s="1"/>
      <c r="N20" s="14" t="str">
        <f t="shared" ca="1" si="6"/>
        <v/>
      </c>
      <c r="O20" s="14" t="str">
        <f t="shared" ca="1" si="2"/>
        <v>RadiusStone_mc::RadiusStone_mc:MovieClip("worldinterface/","RadiusStone_mc","RadiusSphere_mc"{)</v>
      </c>
    </row>
    <row r="21" spans="1:15" x14ac:dyDescent="0.25">
      <c r="A21" s="65"/>
      <c r="B21" s="3" t="s">
        <v>80</v>
      </c>
      <c r="C21" s="1">
        <f t="shared" ca="1" si="0"/>
        <v>1</v>
      </c>
      <c r="D21" s="1" t="s">
        <v>263</v>
      </c>
      <c r="E21" s="1" t="s">
        <v>641</v>
      </c>
      <c r="F21" s="1" t="s">
        <v>641</v>
      </c>
      <c r="G21" s="1" t="s">
        <v>586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5"/>
        <v>createMovieClipSub</v>
      </c>
      <c r="K21" s="1" t="str">
        <f>B21</f>
        <v>cont</v>
      </c>
      <c r="L21" s="1"/>
      <c r="M21" s="1"/>
      <c r="N21" s="14" t="str">
        <f t="shared" ca="1" si="6"/>
        <v>MovieClipSub * cont;</v>
      </c>
      <c r="O21" s="14" t="str">
        <f t="shared" ca="1" si="2"/>
        <v>cont= this-&gt;createMovieClipSub("cont");</v>
      </c>
    </row>
    <row r="22" spans="1:15" x14ac:dyDescent="0.25">
      <c r="A22" s="65"/>
      <c r="B22" s="1" t="s">
        <v>638</v>
      </c>
      <c r="C22" s="1">
        <f t="shared" ca="1" si="0"/>
        <v>0</v>
      </c>
      <c r="D22" s="1" t="s">
        <v>263</v>
      </c>
      <c r="E22" s="1" t="s">
        <v>641</v>
      </c>
      <c r="F22" s="1" t="s">
        <v>641</v>
      </c>
      <c r="G22" s="21" t="s">
        <v>587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5"/>
        <v>createMovieClip</v>
      </c>
      <c r="K22" s="1" t="s">
        <v>639</v>
      </c>
      <c r="L22" s="1"/>
      <c r="M22" s="1"/>
      <c r="N22" s="14" t="str">
        <f t="shared" ca="1" si="6"/>
        <v/>
      </c>
      <c r="O22" s="14" t="str">
        <f t="shared" ca="1" si="2"/>
        <v>RadiusLevin_mc::RadiusLevin_mc:MovieClip("worldinterface/","RadiusLevin_mc","RadiusSphere_mc"{)</v>
      </c>
    </row>
    <row r="23" spans="1:15" x14ac:dyDescent="0.25">
      <c r="A23" s="65"/>
      <c r="B23" s="3" t="s">
        <v>80</v>
      </c>
      <c r="C23" s="1">
        <f t="shared" ca="1" si="0"/>
        <v>1</v>
      </c>
      <c r="D23" s="1" t="s">
        <v>263</v>
      </c>
      <c r="E23" s="1" t="s">
        <v>641</v>
      </c>
      <c r="F23" s="1" t="s">
        <v>641</v>
      </c>
      <c r="G23" s="1" t="s">
        <v>586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5"/>
        <v>createMovieClipSub</v>
      </c>
      <c r="K23" s="1" t="str">
        <f>B23</f>
        <v>cont</v>
      </c>
      <c r="L23" s="1"/>
      <c r="M23" s="1"/>
      <c r="N23" s="14" t="str">
        <f t="shared" ca="1" si="6"/>
        <v>MovieClipSub * cont;</v>
      </c>
      <c r="O23" s="14" t="str">
        <f t="shared" ca="1" si="2"/>
        <v>cont= this-&gt;createMovieClipSub("cont");</v>
      </c>
    </row>
    <row r="24" spans="1:15" x14ac:dyDescent="0.25">
      <c r="A24" s="65"/>
      <c r="B24" s="1" t="s">
        <v>216</v>
      </c>
      <c r="C24" s="1">
        <f t="shared" ca="1" si="0"/>
        <v>0</v>
      </c>
      <c r="D24" s="1" t="s">
        <v>263</v>
      </c>
      <c r="E24" s="1" t="s">
        <v>641</v>
      </c>
      <c r="F24" s="1" t="s">
        <v>641</v>
      </c>
      <c r="G24" s="21" t="s">
        <v>587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5"/>
        <v>createMovieClip</v>
      </c>
      <c r="K24" s="1" t="s">
        <v>639</v>
      </c>
      <c r="L24" s="1"/>
      <c r="M24" s="1"/>
      <c r="N24" s="14" t="str">
        <f t="shared" ca="1" si="6"/>
        <v/>
      </c>
      <c r="O24" s="14" t="str">
        <f t="shared" ca="1" si="2"/>
        <v>RadiusGetAll_mc::RadiusGetAll_mc:MovieClip("worldinterface/","RadiusGetAll_mc","RadiusSphere_mc"{)</v>
      </c>
    </row>
    <row r="25" spans="1:15" x14ac:dyDescent="0.25">
      <c r="A25" s="65"/>
      <c r="B25" s="3" t="s">
        <v>80</v>
      </c>
      <c r="C25" s="1">
        <f t="shared" ca="1" si="0"/>
        <v>1</v>
      </c>
      <c r="D25" s="1" t="s">
        <v>263</v>
      </c>
      <c r="E25" s="1" t="s">
        <v>641</v>
      </c>
      <c r="F25" s="1" t="s">
        <v>641</v>
      </c>
      <c r="G25" s="1" t="s">
        <v>586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5"/>
        <v>createMovieClipSub</v>
      </c>
      <c r="K25" s="1" t="str">
        <f>B25</f>
        <v>cont</v>
      </c>
      <c r="L25" s="1"/>
      <c r="M25" s="1"/>
      <c r="N25" s="14" t="str">
        <f t="shared" ca="1" si="6"/>
        <v>MovieClipSub * cont;</v>
      </c>
      <c r="O25" s="14" t="str">
        <f t="shared" ca="1" si="2"/>
        <v>cont= this-&gt;createMovieClipSub("cont");</v>
      </c>
    </row>
    <row r="26" spans="1:15" x14ac:dyDescent="0.25">
      <c r="A26" s="65"/>
      <c r="B26" s="3" t="s">
        <v>107</v>
      </c>
      <c r="C26" s="1">
        <f t="shared" ca="1" si="0"/>
        <v>1</v>
      </c>
      <c r="D26" s="1" t="s">
        <v>263</v>
      </c>
      <c r="E26" s="1" t="s">
        <v>641</v>
      </c>
      <c r="F26" s="1" t="s">
        <v>641</v>
      </c>
      <c r="G26" s="1" t="s">
        <v>586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5"/>
        <v>createMovieClipSub</v>
      </c>
      <c r="K26" s="1" t="str">
        <f t="shared" ref="K26:K28" si="9">B26</f>
        <v>cont1</v>
      </c>
      <c r="L26" s="1"/>
      <c r="M26" s="1"/>
      <c r="N26" s="14" t="str">
        <f t="shared" ca="1" si="6"/>
        <v>MovieClipSub * cont1;</v>
      </c>
      <c r="O26" s="14" t="str">
        <f t="shared" ca="1" si="2"/>
        <v>cont1= this-&gt;createMovieClipSub("cont1");</v>
      </c>
    </row>
    <row r="27" spans="1:15" x14ac:dyDescent="0.25">
      <c r="A27" s="65"/>
      <c r="B27" s="3" t="s">
        <v>184</v>
      </c>
      <c r="C27" s="1">
        <f t="shared" ca="1" si="0"/>
        <v>1</v>
      </c>
      <c r="D27" s="1" t="s">
        <v>263</v>
      </c>
      <c r="E27" s="1" t="s">
        <v>641</v>
      </c>
      <c r="F27" s="1" t="s">
        <v>641</v>
      </c>
      <c r="G27" s="1" t="s">
        <v>586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5"/>
        <v>createMovieClipSub</v>
      </c>
      <c r="K27" s="1" t="str">
        <f t="shared" si="9"/>
        <v>cont2</v>
      </c>
      <c r="L27" s="1"/>
      <c r="M27" s="1"/>
      <c r="N27" s="14" t="str">
        <f t="shared" ca="1" si="6"/>
        <v>MovieClipSub * cont2;</v>
      </c>
      <c r="O27" s="14" t="str">
        <f t="shared" ca="1" si="2"/>
        <v>cont2= this-&gt;createMovieClipSub("cont2");</v>
      </c>
    </row>
    <row r="28" spans="1:15" x14ac:dyDescent="0.25">
      <c r="A28" s="66"/>
      <c r="B28" s="3" t="s">
        <v>185</v>
      </c>
      <c r="C28" s="1">
        <f t="shared" ca="1" si="0"/>
        <v>1</v>
      </c>
      <c r="D28" s="1" t="s">
        <v>263</v>
      </c>
      <c r="E28" s="1" t="s">
        <v>641</v>
      </c>
      <c r="F28" s="1" t="s">
        <v>641</v>
      </c>
      <c r="G28" s="1" t="s">
        <v>586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5"/>
        <v>createMovieClipSub</v>
      </c>
      <c r="K28" s="1" t="str">
        <f t="shared" si="9"/>
        <v>cont3</v>
      </c>
      <c r="L28" s="1"/>
      <c r="M28" s="1"/>
      <c r="N28" s="14" t="str">
        <f t="shared" ca="1" si="6"/>
        <v>MovieClipSub * cont3;</v>
      </c>
      <c r="O28" s="14" t="str">
        <f t="shared" ca="1" si="2"/>
        <v>cont3= this-&gt;createMovieClipSub("cont3");</v>
      </c>
    </row>
    <row r="29" spans="1:15" ht="14.25" customHeight="1" x14ac:dyDescent="0.25">
      <c r="A29" s="64" t="s">
        <v>643</v>
      </c>
      <c r="B29" s="1" t="s">
        <v>219</v>
      </c>
      <c r="C29" s="1">
        <f t="shared" ca="1" si="0"/>
        <v>0</v>
      </c>
      <c r="D29" s="1" t="s">
        <v>263</v>
      </c>
      <c r="E29" s="1" t="s">
        <v>641</v>
      </c>
      <c r="F29" s="1" t="s">
        <v>641</v>
      </c>
      <c r="G29" s="21" t="s">
        <v>644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5"/>
        <v>createMovieClip</v>
      </c>
      <c r="K29" s="1" t="str">
        <f t="shared" si="7"/>
        <v>MoveFire_mc</v>
      </c>
      <c r="L29" s="1"/>
      <c r="M29" s="1"/>
      <c r="N29" s="14" t="str">
        <f t="shared" ca="1" si="6"/>
        <v/>
      </c>
      <c r="O29" s="14" t="str">
        <f t="shared" ca="1" si="2"/>
        <v>MoveFire_mc::MoveFire_mc:MovieClip("worldinterface/","MoveFire_mc","MoveFire_mc"{)</v>
      </c>
    </row>
    <row r="30" spans="1:15" x14ac:dyDescent="0.25">
      <c r="A30" s="65"/>
      <c r="B30" s="3" t="s">
        <v>80</v>
      </c>
      <c r="C30" s="1">
        <f t="shared" ca="1" si="0"/>
        <v>1</v>
      </c>
      <c r="D30" s="1" t="s">
        <v>263</v>
      </c>
      <c r="E30" s="1" t="s">
        <v>641</v>
      </c>
      <c r="F30" s="1" t="s">
        <v>641</v>
      </c>
      <c r="G30" s="1" t="s">
        <v>587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5"/>
        <v>createMovieClip</v>
      </c>
      <c r="K30" s="1" t="s">
        <v>642</v>
      </c>
      <c r="L30" s="1" t="s">
        <v>645</v>
      </c>
      <c r="M30" s="1"/>
      <c r="N30" s="14" t="str">
        <f t="shared" ca="1" si="6"/>
        <v>MovieClip * cont;</v>
      </c>
      <c r="O30" s="14" t="str">
        <f t="shared" ca="1" si="2"/>
        <v>cont= this-&gt;createMovieClip("cont","worldinterface/","fire","GetSphere_mc");</v>
      </c>
    </row>
    <row r="31" spans="1:15" x14ac:dyDescent="0.25">
      <c r="A31" s="65"/>
      <c r="B31" s="3" t="s">
        <v>217</v>
      </c>
      <c r="C31" s="1">
        <f t="shared" ref="C31" ca="1" si="10">indent(B31)</f>
        <v>1</v>
      </c>
      <c r="D31" s="1" t="s">
        <v>263</v>
      </c>
      <c r="E31" s="1" t="s">
        <v>641</v>
      </c>
      <c r="F31" s="1" t="s">
        <v>641</v>
      </c>
      <c r="G31" s="1" t="s">
        <v>671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5"/>
        <v>createText</v>
      </c>
      <c r="K31" s="1" t="str">
        <f t="shared" ref="K31" si="12">B31</f>
        <v>numTXT</v>
      </c>
      <c r="L31" s="1"/>
      <c r="M31" s="1"/>
      <c r="N31" s="14" t="str">
        <f t="shared" ca="1" si="6"/>
        <v>MCText * numTXT;</v>
      </c>
      <c r="O31" s="14" t="str">
        <f t="shared" ca="1" si="2"/>
        <v>numTXT= this-&gt;createText("numTXT");</v>
      </c>
    </row>
    <row r="32" spans="1:15" x14ac:dyDescent="0.25">
      <c r="A32" s="65"/>
      <c r="B32" s="1" t="s">
        <v>220</v>
      </c>
      <c r="C32" s="1">
        <f t="shared" ca="1" si="0"/>
        <v>0</v>
      </c>
      <c r="D32" s="1" t="s">
        <v>263</v>
      </c>
      <c r="E32" s="1" t="s">
        <v>641</v>
      </c>
      <c r="F32" s="1" t="s">
        <v>641</v>
      </c>
      <c r="G32" s="21" t="s">
        <v>587</v>
      </c>
      <c r="H32" s="1" t="str">
        <f t="shared" ref="H32:H103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5"/>
        <v>createMovieClip</v>
      </c>
      <c r="K32" s="1" t="str">
        <f t="shared" si="7"/>
        <v>MoveIce_mc</v>
      </c>
      <c r="M32" s="1"/>
      <c r="N32" s="14" t="str">
        <f t="shared" ca="1" si="6"/>
        <v/>
      </c>
      <c r="O32" s="14" t="str">
        <f t="shared" ca="1" si="2"/>
        <v>MoveIce_mc::MoveIce_mc:MovieClip("worldinterface/","MoveIce_mc","MoveIce_mc"{)</v>
      </c>
    </row>
    <row r="33" spans="1:15" x14ac:dyDescent="0.25">
      <c r="A33" s="65"/>
      <c r="B33" s="3" t="s">
        <v>80</v>
      </c>
      <c r="C33" s="1">
        <f t="shared" ca="1" si="0"/>
        <v>1</v>
      </c>
      <c r="D33" s="1" t="s">
        <v>263</v>
      </c>
      <c r="E33" s="1" t="s">
        <v>641</v>
      </c>
      <c r="F33" s="1" t="s">
        <v>641</v>
      </c>
      <c r="G33" s="1" t="s">
        <v>587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5"/>
        <v>createMovieClip</v>
      </c>
      <c r="K33" s="1" t="s">
        <v>642</v>
      </c>
      <c r="L33" s="1" t="s">
        <v>646</v>
      </c>
      <c r="M33" s="1"/>
      <c r="N33" s="14" t="str">
        <f t="shared" ca="1" si="6"/>
        <v>MovieClip * cont;</v>
      </c>
      <c r="O33" s="14" t="str">
        <f t="shared" ca="1" si="2"/>
        <v>cont= this-&gt;createMovieClip("cont","worldinterface/","ice","GetSphere_mc");</v>
      </c>
    </row>
    <row r="34" spans="1:15" x14ac:dyDescent="0.25">
      <c r="A34" s="65"/>
      <c r="B34" s="3" t="s">
        <v>217</v>
      </c>
      <c r="C34" s="1">
        <f t="shared" ca="1" si="0"/>
        <v>1</v>
      </c>
      <c r="D34" s="1" t="s">
        <v>263</v>
      </c>
      <c r="E34" s="1" t="s">
        <v>641</v>
      </c>
      <c r="F34" s="1" t="s">
        <v>641</v>
      </c>
      <c r="G34" s="1" t="s">
        <v>671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5"/>
        <v>createText</v>
      </c>
      <c r="K34" s="1" t="str">
        <f t="shared" si="7"/>
        <v>numTXT</v>
      </c>
      <c r="L34" s="1"/>
      <c r="M34" s="1"/>
      <c r="N34" s="14" t="str">
        <f t="shared" ca="1" si="6"/>
        <v>MCText * numTXT;</v>
      </c>
      <c r="O34" s="14" t="str">
        <f t="shared" ca="1" si="2"/>
        <v>numTXT= this-&gt;createText("numTXT");</v>
      </c>
    </row>
    <row r="35" spans="1:15" x14ac:dyDescent="0.25">
      <c r="A35" s="65"/>
      <c r="B35" s="1" t="s">
        <v>221</v>
      </c>
      <c r="C35" s="1">
        <f t="shared" ca="1" si="0"/>
        <v>0</v>
      </c>
      <c r="D35" s="1" t="s">
        <v>263</v>
      </c>
      <c r="E35" s="1" t="s">
        <v>641</v>
      </c>
      <c r="F35" s="1" t="s">
        <v>641</v>
      </c>
      <c r="G35" s="21" t="s">
        <v>587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5"/>
        <v>createMovieClip</v>
      </c>
      <c r="K35" s="1" t="str">
        <f t="shared" si="7"/>
        <v>MoveStone_mc</v>
      </c>
      <c r="M35" s="1"/>
      <c r="N35" s="14" t="str">
        <f t="shared" ca="1" si="6"/>
        <v/>
      </c>
      <c r="O35" s="14" t="str">
        <f t="shared" ca="1" si="2"/>
        <v>MoveStone_mc::MoveStone_mc:MovieClip("worldinterface/","MoveStone_mc","MoveStone_mc"{)</v>
      </c>
    </row>
    <row r="36" spans="1:15" x14ac:dyDescent="0.25">
      <c r="A36" s="65"/>
      <c r="B36" s="3" t="s">
        <v>80</v>
      </c>
      <c r="C36" s="1">
        <f t="shared" ca="1" si="0"/>
        <v>1</v>
      </c>
      <c r="D36" s="1" t="s">
        <v>263</v>
      </c>
      <c r="E36" s="1" t="s">
        <v>641</v>
      </c>
      <c r="F36" s="1" t="s">
        <v>641</v>
      </c>
      <c r="G36" s="1" t="s">
        <v>587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5"/>
        <v>createMovieClip</v>
      </c>
      <c r="K36" s="1" t="s">
        <v>642</v>
      </c>
      <c r="L36" s="1" t="s">
        <v>647</v>
      </c>
      <c r="M36" s="1"/>
      <c r="N36" s="14" t="str">
        <f t="shared" ca="1" si="6"/>
        <v>MovieClip * cont;</v>
      </c>
      <c r="O36" s="14" t="str">
        <f t="shared" ca="1" si="2"/>
        <v>cont= this-&gt;createMovieClip("cont","worldinterface/","stone","GetSphere_mc");</v>
      </c>
    </row>
    <row r="37" spans="1:15" x14ac:dyDescent="0.25">
      <c r="A37" s="65"/>
      <c r="B37" s="3" t="s">
        <v>217</v>
      </c>
      <c r="C37" s="1">
        <f t="shared" ref="C37" ca="1" si="14">indent(B37)</f>
        <v>1</v>
      </c>
      <c r="D37" s="1" t="s">
        <v>263</v>
      </c>
      <c r="E37" s="1" t="s">
        <v>641</v>
      </c>
      <c r="F37" s="1" t="s">
        <v>641</v>
      </c>
      <c r="G37" s="1" t="s">
        <v>671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5"/>
        <v>createText</v>
      </c>
      <c r="K37" s="1" t="str">
        <f t="shared" ref="K37" si="16">B37</f>
        <v>numTXT</v>
      </c>
      <c r="L37" s="1"/>
      <c r="M37" s="1"/>
      <c r="N37" s="14" t="str">
        <f t="shared" ca="1" si="6"/>
        <v>MCText * numTXT;</v>
      </c>
      <c r="O37" s="14" t="str">
        <f t="shared" ca="1" si="2"/>
        <v>numTXT= this-&gt;createText("numTXT");</v>
      </c>
    </row>
    <row r="38" spans="1:15" x14ac:dyDescent="0.25">
      <c r="A38" s="65"/>
      <c r="B38" s="1" t="s">
        <v>218</v>
      </c>
      <c r="C38" s="1">
        <f t="shared" ca="1" si="0"/>
        <v>0</v>
      </c>
      <c r="D38" s="1" t="s">
        <v>263</v>
      </c>
      <c r="E38" s="1" t="s">
        <v>641</v>
      </c>
      <c r="F38" s="1" t="s">
        <v>641</v>
      </c>
      <c r="G38" s="21" t="s">
        <v>587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5"/>
        <v>createMovieClip</v>
      </c>
      <c r="K38" s="1" t="str">
        <f t="shared" ref="K38:K70" si="17">B38</f>
        <v>MoveLevin_mc</v>
      </c>
      <c r="M38" s="1"/>
      <c r="N38" s="14" t="str">
        <f t="shared" ca="1" si="6"/>
        <v/>
      </c>
      <c r="O38" s="14" t="str">
        <f t="shared" ca="1" si="2"/>
        <v>MoveLevin_mc::MoveLevin_mc:MovieClip("worldinterface/","MoveLevin_mc","MoveLevin_mc"{)</v>
      </c>
    </row>
    <row r="39" spans="1:15" x14ac:dyDescent="0.25">
      <c r="A39" s="65"/>
      <c r="B39" s="3" t="s">
        <v>80</v>
      </c>
      <c r="C39" s="1">
        <f t="shared" ca="1" si="0"/>
        <v>1</v>
      </c>
      <c r="D39" s="1" t="s">
        <v>263</v>
      </c>
      <c r="E39" s="1" t="s">
        <v>641</v>
      </c>
      <c r="F39" s="1" t="s">
        <v>641</v>
      </c>
      <c r="G39" s="1" t="s">
        <v>587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5"/>
        <v>createMovieClip</v>
      </c>
      <c r="K39" s="1" t="s">
        <v>642</v>
      </c>
      <c r="L39" s="1" t="s">
        <v>648</v>
      </c>
      <c r="M39" s="1"/>
      <c r="N39" s="14" t="str">
        <f t="shared" ca="1" si="6"/>
        <v>MovieClip * cont;</v>
      </c>
      <c r="O39" s="14" t="str">
        <f t="shared" ca="1" si="2"/>
        <v>cont= this-&gt;createMovieClip("cont","worldinterface/","levin","GetSphere_mc");</v>
      </c>
    </row>
    <row r="40" spans="1:15" x14ac:dyDescent="0.25">
      <c r="A40" s="66"/>
      <c r="B40" s="3" t="s">
        <v>217</v>
      </c>
      <c r="C40" s="1">
        <f t="shared" ca="1" si="0"/>
        <v>1</v>
      </c>
      <c r="D40" s="1" t="s">
        <v>263</v>
      </c>
      <c r="E40" s="1" t="s">
        <v>641</v>
      </c>
      <c r="F40" s="1" t="s">
        <v>641</v>
      </c>
      <c r="G40" s="1" t="s">
        <v>671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5"/>
        <v>createText</v>
      </c>
      <c r="K40" s="1" t="str">
        <f t="shared" si="17"/>
        <v>numTXT</v>
      </c>
      <c r="L40" s="1"/>
      <c r="M40" s="1"/>
      <c r="N40" s="14" t="str">
        <f t="shared" ca="1" si="6"/>
        <v>MCText * numTXT;</v>
      </c>
      <c r="O40" s="14" t="str">
        <f t="shared" ca="1" si="2"/>
        <v>numTXT= this-&gt;createText("numTXT");</v>
      </c>
    </row>
    <row r="41" spans="1:15" x14ac:dyDescent="0.25">
      <c r="A41" s="6" t="s">
        <v>222</v>
      </c>
      <c r="B41" s="1" t="s">
        <v>223</v>
      </c>
      <c r="C41" s="1">
        <f t="shared" ca="1" si="0"/>
        <v>0</v>
      </c>
      <c r="D41" s="1" t="s">
        <v>263</v>
      </c>
      <c r="E41" s="1" t="s">
        <v>641</v>
      </c>
      <c r="F41" s="1" t="s">
        <v>641</v>
      </c>
      <c r="G41" s="21" t="s">
        <v>587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5"/>
        <v>createMovieClip</v>
      </c>
      <c r="K41" s="1" t="str">
        <f t="shared" si="17"/>
        <v>CastFire_mc</v>
      </c>
      <c r="L41" s="1"/>
      <c r="M41" s="1"/>
      <c r="N41" s="14" t="str">
        <f t="shared" ca="1" si="6"/>
        <v/>
      </c>
      <c r="O41" s="14" t="str">
        <f t="shared" ca="1" si="2"/>
        <v>CastFire_mc::CastFire_mc:MovieClip("worldinterface/","CastFire_mc","CastFire_mc"{)</v>
      </c>
    </row>
    <row r="42" spans="1:15" x14ac:dyDescent="0.25">
      <c r="A42" s="6"/>
      <c r="B42" s="1" t="s">
        <v>224</v>
      </c>
      <c r="C42" s="1">
        <f t="shared" ca="1" si="0"/>
        <v>0</v>
      </c>
      <c r="D42" s="1" t="s">
        <v>263</v>
      </c>
      <c r="E42" s="1" t="s">
        <v>641</v>
      </c>
      <c r="F42" s="1" t="s">
        <v>641</v>
      </c>
      <c r="G42" s="21" t="s">
        <v>587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5"/>
        <v>createMovieClip</v>
      </c>
      <c r="K42" s="1" t="str">
        <f t="shared" si="17"/>
        <v>CastIce_mc</v>
      </c>
      <c r="L42" s="1"/>
      <c r="M42" s="1"/>
      <c r="N42" s="14" t="str">
        <f t="shared" ca="1" si="6"/>
        <v/>
      </c>
      <c r="O42" s="14" t="str">
        <f t="shared" ca="1" si="2"/>
        <v>CastIce_mc::CastIce_mc:MovieClip("worldinterface/","CastIce_mc","CastIce_mc"{)</v>
      </c>
    </row>
    <row r="43" spans="1:15" x14ac:dyDescent="0.25">
      <c r="A43" s="6"/>
      <c r="B43" s="1" t="s">
        <v>225</v>
      </c>
      <c r="C43" s="1">
        <f t="shared" ca="1" si="0"/>
        <v>0</v>
      </c>
      <c r="D43" s="1" t="s">
        <v>263</v>
      </c>
      <c r="E43" s="1" t="s">
        <v>641</v>
      </c>
      <c r="F43" s="1" t="s">
        <v>641</v>
      </c>
      <c r="G43" s="21" t="s">
        <v>587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5"/>
        <v>createMovieClip</v>
      </c>
      <c r="K43" s="1" t="str">
        <f t="shared" si="17"/>
        <v>CastStone_mc</v>
      </c>
      <c r="L43" s="1"/>
      <c r="M43" s="1"/>
      <c r="N43" s="14" t="str">
        <f t="shared" ca="1" si="6"/>
        <v/>
      </c>
      <c r="O43" s="14" t="str">
        <f t="shared" ca="1" si="2"/>
        <v>CastStone_mc::CastStone_mc:MovieClip("worldinterface/","CastStone_mc","CastStone_mc"{)</v>
      </c>
    </row>
    <row r="44" spans="1:15" x14ac:dyDescent="0.25">
      <c r="A44" s="6"/>
      <c r="B44" s="1" t="s">
        <v>226</v>
      </c>
      <c r="C44" s="1">
        <f t="shared" ca="1" si="0"/>
        <v>0</v>
      </c>
      <c r="D44" s="1" t="s">
        <v>263</v>
      </c>
      <c r="E44" s="1" t="s">
        <v>641</v>
      </c>
      <c r="F44" s="1" t="s">
        <v>641</v>
      </c>
      <c r="G44" s="21" t="s">
        <v>587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5"/>
        <v>createMovieClip</v>
      </c>
      <c r="K44" s="1" t="str">
        <f t="shared" si="17"/>
        <v>CastLevin_mc</v>
      </c>
      <c r="L44" s="1"/>
      <c r="M44" s="1"/>
      <c r="N44" s="14" t="str">
        <f t="shared" ca="1" si="6"/>
        <v/>
      </c>
      <c r="O44" s="14" t="str">
        <f t="shared" ca="1" si="2"/>
        <v>CastLevin_mc::CastLevin_mc:MovieClip("worldinterface/","CastLevin_mc","CastLevin_mc"{)</v>
      </c>
    </row>
    <row r="45" spans="1:15" x14ac:dyDescent="0.25">
      <c r="A45" s="6"/>
      <c r="B45" s="1" t="s">
        <v>227</v>
      </c>
      <c r="C45" s="1">
        <f t="shared" ca="1" si="0"/>
        <v>0</v>
      </c>
      <c r="D45" s="1" t="s">
        <v>263</v>
      </c>
      <c r="E45" s="1" t="s">
        <v>641</v>
      </c>
      <c r="F45" s="1" t="s">
        <v>641</v>
      </c>
      <c r="G45" s="21" t="s">
        <v>587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5"/>
        <v>createMovieClip</v>
      </c>
      <c r="K45" s="1" t="str">
        <f t="shared" si="17"/>
        <v>CastFireIce_mc</v>
      </c>
      <c r="L45" s="1"/>
      <c r="M45" s="1"/>
      <c r="N45" s="14" t="str">
        <f t="shared" ca="1" si="6"/>
        <v/>
      </c>
      <c r="O45" s="14" t="str">
        <f t="shared" ca="1" si="2"/>
        <v>CastFireIce_mc::CastFireIce_mc:MovieClip("worldinterface/","CastFireIce_mc","CastFireIce_mc"{)</v>
      </c>
    </row>
    <row r="46" spans="1:15" x14ac:dyDescent="0.25">
      <c r="A46" s="6"/>
      <c r="B46" s="1" t="s">
        <v>228</v>
      </c>
      <c r="C46" s="1">
        <f t="shared" ca="1" si="0"/>
        <v>0</v>
      </c>
      <c r="D46" s="1" t="s">
        <v>263</v>
      </c>
      <c r="E46" s="1" t="s">
        <v>641</v>
      </c>
      <c r="F46" s="1" t="s">
        <v>641</v>
      </c>
      <c r="G46" s="21" t="s">
        <v>587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5"/>
        <v>createMovieClip</v>
      </c>
      <c r="K46" s="1" t="str">
        <f t="shared" si="17"/>
        <v>CastFireStone_mc</v>
      </c>
      <c r="L46" s="1"/>
      <c r="M46" s="1"/>
      <c r="N46" s="14" t="str">
        <f t="shared" ca="1" si="6"/>
        <v/>
      </c>
      <c r="O46" s="14" t="str">
        <f t="shared" ca="1" si="2"/>
        <v>CastFireStone_mc::CastFireStone_mc:MovieClip("worldinterface/","CastFireStone_mc","CastFireStone_mc"{)</v>
      </c>
    </row>
    <row r="47" spans="1:15" x14ac:dyDescent="0.25">
      <c r="A47" s="6"/>
      <c r="B47" s="1" t="s">
        <v>229</v>
      </c>
      <c r="C47" s="1">
        <f t="shared" ca="1" si="0"/>
        <v>0</v>
      </c>
      <c r="D47" s="1" t="s">
        <v>263</v>
      </c>
      <c r="E47" s="1" t="s">
        <v>641</v>
      </c>
      <c r="F47" s="1" t="s">
        <v>641</v>
      </c>
      <c r="G47" s="21" t="s">
        <v>587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5"/>
        <v>createMovieClip</v>
      </c>
      <c r="K47" s="1" t="str">
        <f t="shared" si="17"/>
        <v>CastFireLevin_mc</v>
      </c>
      <c r="L47" s="1"/>
      <c r="M47" s="1"/>
      <c r="N47" s="14" t="str">
        <f t="shared" ca="1" si="6"/>
        <v/>
      </c>
      <c r="O47" s="14" t="str">
        <f t="shared" ca="1" si="2"/>
        <v>CastFireLevin_mc::CastFireLevin_mc:MovieClip("worldinterface/","CastFireLevin_mc","CastFireLevin_mc"{)</v>
      </c>
    </row>
    <row r="48" spans="1:15" x14ac:dyDescent="0.25">
      <c r="A48" s="6"/>
      <c r="B48" s="1" t="s">
        <v>230</v>
      </c>
      <c r="C48" s="1">
        <f t="shared" ca="1" si="0"/>
        <v>0</v>
      </c>
      <c r="D48" s="1" t="s">
        <v>263</v>
      </c>
      <c r="E48" s="1" t="s">
        <v>641</v>
      </c>
      <c r="F48" s="1" t="s">
        <v>641</v>
      </c>
      <c r="G48" s="21" t="s">
        <v>587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5"/>
        <v>createMovieClip</v>
      </c>
      <c r="K48" s="1" t="str">
        <f t="shared" si="17"/>
        <v>CastIceStone_mc</v>
      </c>
      <c r="L48" s="1"/>
      <c r="M48" s="1"/>
      <c r="N48" s="14" t="str">
        <f t="shared" ca="1" si="6"/>
        <v/>
      </c>
      <c r="O48" s="14" t="str">
        <f t="shared" ca="1" si="2"/>
        <v>CastIceStone_mc::CastIceStone_mc:MovieClip("worldinterface/","CastIceStone_mc","CastIceStone_mc"{)</v>
      </c>
    </row>
    <row r="49" spans="1:15" x14ac:dyDescent="0.25">
      <c r="A49" s="6"/>
      <c r="B49" s="1" t="s">
        <v>231</v>
      </c>
      <c r="C49" s="1">
        <f t="shared" ca="1" si="0"/>
        <v>0</v>
      </c>
      <c r="D49" s="1" t="s">
        <v>263</v>
      </c>
      <c r="E49" s="1" t="s">
        <v>641</v>
      </c>
      <c r="F49" s="1" t="s">
        <v>641</v>
      </c>
      <c r="G49" s="21" t="s">
        <v>587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5"/>
        <v>createMovieClip</v>
      </c>
      <c r="K49" s="1" t="str">
        <f t="shared" si="17"/>
        <v>CastIceLevin_mc</v>
      </c>
      <c r="L49" s="1"/>
      <c r="M49" s="1"/>
      <c r="N49" s="14" t="str">
        <f t="shared" ca="1" si="6"/>
        <v/>
      </c>
      <c r="O49" s="14" t="str">
        <f t="shared" ca="1" si="2"/>
        <v>CastIceLevin_mc::CastIceLevin_mc:MovieClip("worldinterface/","CastIceLevin_mc","CastIceLevin_mc"{)</v>
      </c>
    </row>
    <row r="50" spans="1:15" x14ac:dyDescent="0.25">
      <c r="A50" s="6"/>
      <c r="B50" s="1" t="s">
        <v>232</v>
      </c>
      <c r="C50" s="1">
        <f t="shared" ca="1" si="0"/>
        <v>0</v>
      </c>
      <c r="D50" s="1" t="s">
        <v>263</v>
      </c>
      <c r="E50" s="1" t="s">
        <v>641</v>
      </c>
      <c r="F50" s="1" t="s">
        <v>641</v>
      </c>
      <c r="G50" s="21" t="s">
        <v>587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5"/>
        <v>createMovieClip</v>
      </c>
      <c r="K50" s="1" t="str">
        <f t="shared" si="17"/>
        <v>CastStoneLevin_mc</v>
      </c>
      <c r="L50" s="1"/>
      <c r="M50" s="1"/>
      <c r="N50" s="14" t="str">
        <f t="shared" ca="1" si="6"/>
        <v/>
      </c>
      <c r="O50" s="14" t="str">
        <f t="shared" ca="1" si="2"/>
        <v>CastStoneLevin_mc::CastStoneLevin_mc:MovieClip("worldinterface/","CastStoneLevin_mc","CastStoneLevin_mc"{)</v>
      </c>
    </row>
    <row r="51" spans="1:15" x14ac:dyDescent="0.25">
      <c r="A51" s="6"/>
      <c r="B51" s="1" t="s">
        <v>233</v>
      </c>
      <c r="C51" s="1">
        <f t="shared" ca="1" si="0"/>
        <v>0</v>
      </c>
      <c r="D51" s="1" t="s">
        <v>263</v>
      </c>
      <c r="E51" s="1" t="s">
        <v>641</v>
      </c>
      <c r="F51" s="1" t="s">
        <v>641</v>
      </c>
      <c r="G51" s="21" t="s">
        <v>587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5"/>
        <v>createMovieClip</v>
      </c>
      <c r="K51" s="1" t="str">
        <f t="shared" si="17"/>
        <v>CastGetAllLittle_mc</v>
      </c>
      <c r="L51" s="1"/>
      <c r="M51" s="1"/>
      <c r="N51" s="14" t="str">
        <f t="shared" ca="1" si="6"/>
        <v/>
      </c>
      <c r="O51" s="14" t="str">
        <f t="shared" ca="1" si="2"/>
        <v>CastGetAllLittle_mc::CastGetAllLittle_mc:MovieClip("worldinterface/","CastGetAllLittle_mc","CastGetAllLittle_mc"{)</v>
      </c>
    </row>
    <row r="52" spans="1:15" x14ac:dyDescent="0.25">
      <c r="A52" s="6"/>
      <c r="B52" s="1" t="s">
        <v>650</v>
      </c>
      <c r="C52" s="1">
        <f t="shared" ca="1" si="0"/>
        <v>0</v>
      </c>
      <c r="D52" s="1" t="s">
        <v>263</v>
      </c>
      <c r="E52" s="1" t="s">
        <v>641</v>
      </c>
      <c r="F52" s="1" t="s">
        <v>641</v>
      </c>
      <c r="G52" s="21" t="s">
        <v>587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5"/>
        <v>createMovieClip</v>
      </c>
      <c r="K52" s="1" t="str">
        <f t="shared" si="17"/>
        <v>CastGetAll_mc</v>
      </c>
      <c r="L52" s="1"/>
      <c r="M52" s="1"/>
      <c r="N52" s="14" t="str">
        <f t="shared" ca="1" si="6"/>
        <v/>
      </c>
      <c r="O52" s="14" t="str">
        <f t="shared" ca="1" si="2"/>
        <v>CastGetAll_mc::CastGetAll_mc:MovieClip("worldinterface/","CastGetAll_mc","CastGetAll_mc"{)</v>
      </c>
    </row>
    <row r="53" spans="1:15" x14ac:dyDescent="0.25">
      <c r="A53" s="6"/>
      <c r="B53" s="3" t="s">
        <v>240</v>
      </c>
      <c r="C53" s="1">
        <f t="shared" ca="1" si="0"/>
        <v>1</v>
      </c>
      <c r="D53" s="1" t="s">
        <v>263</v>
      </c>
      <c r="E53" s="1" t="s">
        <v>641</v>
      </c>
      <c r="F53" s="1" t="s">
        <v>641</v>
      </c>
      <c r="G53" s="1" t="s">
        <v>586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5"/>
        <v>createMovieClipSub</v>
      </c>
      <c r="K53" s="1" t="str">
        <f t="shared" si="17"/>
        <v>haze1</v>
      </c>
      <c r="L53" s="1"/>
      <c r="M53" s="1"/>
      <c r="N53" s="14" t="str">
        <f t="shared" ca="1" si="6"/>
        <v>MovieClipSub * haze1;</v>
      </c>
      <c r="O53" s="14" t="str">
        <f t="shared" ca="1" si="2"/>
        <v>haze1= this-&gt;createMovieClipSub("haze1");</v>
      </c>
    </row>
    <row r="54" spans="1:15" x14ac:dyDescent="0.25">
      <c r="A54" s="6"/>
      <c r="B54" s="3" t="s">
        <v>241</v>
      </c>
      <c r="C54" s="1">
        <f t="shared" ca="1" si="0"/>
        <v>1</v>
      </c>
      <c r="D54" s="1" t="s">
        <v>263</v>
      </c>
      <c r="E54" s="1" t="s">
        <v>641</v>
      </c>
      <c r="F54" s="1" t="s">
        <v>641</v>
      </c>
      <c r="G54" s="1" t="s">
        <v>586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5"/>
        <v>createMovieClipSub</v>
      </c>
      <c r="K54" s="1" t="str">
        <f t="shared" si="17"/>
        <v>haze2</v>
      </c>
      <c r="L54" s="1"/>
      <c r="M54" s="1"/>
      <c r="N54" s="14" t="str">
        <f t="shared" ca="1" si="6"/>
        <v>MovieClipSub * haze2;</v>
      </c>
      <c r="O54" s="14" t="str">
        <f t="shared" ca="1" si="2"/>
        <v>haze2= this-&gt;createMovieClipSub("haze2");</v>
      </c>
    </row>
    <row r="55" spans="1:15" x14ac:dyDescent="0.25">
      <c r="A55" s="6"/>
      <c r="B55" s="3" t="s">
        <v>242</v>
      </c>
      <c r="C55" s="1">
        <f t="shared" ca="1" si="0"/>
        <v>1</v>
      </c>
      <c r="D55" s="1" t="s">
        <v>263</v>
      </c>
      <c r="E55" s="1" t="s">
        <v>641</v>
      </c>
      <c r="F55" s="1" t="s">
        <v>641</v>
      </c>
      <c r="G55" s="1" t="s">
        <v>586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5"/>
        <v>createMovieClipSub</v>
      </c>
      <c r="K55" s="1" t="str">
        <f t="shared" si="17"/>
        <v>haze3</v>
      </c>
      <c r="L55" s="1"/>
      <c r="M55" s="1"/>
      <c r="N55" s="14" t="str">
        <f t="shared" ca="1" si="6"/>
        <v>MovieClipSub * haze3;</v>
      </c>
      <c r="O55" s="14" t="str">
        <f t="shared" ca="1" si="2"/>
        <v>haze3= this-&gt;createMovieClipSub("haze3");</v>
      </c>
    </row>
    <row r="56" spans="1:15" x14ac:dyDescent="0.25">
      <c r="A56" s="6"/>
      <c r="B56" s="3" t="s">
        <v>243</v>
      </c>
      <c r="C56" s="1">
        <f t="shared" ca="1" si="0"/>
        <v>1</v>
      </c>
      <c r="D56" s="1" t="s">
        <v>263</v>
      </c>
      <c r="E56" s="1" t="s">
        <v>641</v>
      </c>
      <c r="F56" s="1" t="s">
        <v>641</v>
      </c>
      <c r="G56" s="1" t="s">
        <v>586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5"/>
        <v>createMovieClipSub</v>
      </c>
      <c r="K56" s="1" t="str">
        <f t="shared" si="17"/>
        <v>haze4</v>
      </c>
      <c r="L56" s="1"/>
      <c r="M56" s="1"/>
      <c r="N56" s="14" t="str">
        <f t="shared" ca="1" si="6"/>
        <v>MovieClipSub * haze4;</v>
      </c>
      <c r="O56" s="14" t="str">
        <f t="shared" ca="1" si="2"/>
        <v>haze4= this-&gt;createMovieClipSub("haze4");</v>
      </c>
    </row>
    <row r="57" spans="1:15" x14ac:dyDescent="0.25">
      <c r="A57" s="6"/>
      <c r="B57" s="3" t="s">
        <v>244</v>
      </c>
      <c r="C57" s="1">
        <f t="shared" ca="1" si="0"/>
        <v>1</v>
      </c>
      <c r="D57" s="1" t="s">
        <v>263</v>
      </c>
      <c r="E57" s="1" t="s">
        <v>641</v>
      </c>
      <c r="F57" s="1" t="s">
        <v>641</v>
      </c>
      <c r="G57" s="1" t="s">
        <v>586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5"/>
        <v>createMovieClipSub</v>
      </c>
      <c r="K57" s="1" t="str">
        <f t="shared" si="17"/>
        <v>haze5</v>
      </c>
      <c r="L57" s="1"/>
      <c r="M57" s="1"/>
      <c r="N57" s="14" t="str">
        <f t="shared" ca="1" si="6"/>
        <v>MovieClipSub * haze5;</v>
      </c>
      <c r="O57" s="14" t="str">
        <f t="shared" ca="1" si="2"/>
        <v>haze5= this-&gt;createMovieClipSub("haze5");</v>
      </c>
    </row>
    <row r="58" spans="1:15" x14ac:dyDescent="0.25">
      <c r="A58" s="6"/>
      <c r="B58" s="3" t="s">
        <v>245</v>
      </c>
      <c r="C58" s="1">
        <f t="shared" ca="1" si="0"/>
        <v>1</v>
      </c>
      <c r="D58" s="1" t="s">
        <v>263</v>
      </c>
      <c r="E58" s="1" t="s">
        <v>641</v>
      </c>
      <c r="F58" s="1" t="s">
        <v>641</v>
      </c>
      <c r="G58" s="1" t="s">
        <v>586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5"/>
        <v>createMovieClipSub</v>
      </c>
      <c r="K58" s="1" t="str">
        <f t="shared" si="17"/>
        <v>haze6</v>
      </c>
      <c r="L58" s="1"/>
      <c r="M58" s="1"/>
      <c r="N58" s="14" t="str">
        <f t="shared" ca="1" si="6"/>
        <v>MovieClipSub * haze6;</v>
      </c>
      <c r="O58" s="14" t="str">
        <f t="shared" ca="1" si="2"/>
        <v>haze6= this-&gt;createMovieClipSub("haze6");</v>
      </c>
    </row>
    <row r="59" spans="1:15" x14ac:dyDescent="0.25">
      <c r="A59" s="6"/>
      <c r="B59" s="3" t="s">
        <v>246</v>
      </c>
      <c r="C59" s="1">
        <f t="shared" ca="1" si="0"/>
        <v>1</v>
      </c>
      <c r="D59" s="1" t="s">
        <v>263</v>
      </c>
      <c r="E59" s="1" t="s">
        <v>641</v>
      </c>
      <c r="F59" s="1" t="s">
        <v>641</v>
      </c>
      <c r="G59" s="1" t="s">
        <v>586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5"/>
        <v>createMovieClipSub</v>
      </c>
      <c r="K59" s="1" t="str">
        <f t="shared" si="17"/>
        <v>haze7</v>
      </c>
      <c r="L59" s="1"/>
      <c r="M59" s="1"/>
      <c r="N59" s="14" t="str">
        <f t="shared" ca="1" si="6"/>
        <v>MovieClipSub * haze7;</v>
      </c>
      <c r="O59" s="14" t="str">
        <f t="shared" ca="1" si="2"/>
        <v>haze7= this-&gt;createMovieClipSub("haze7");</v>
      </c>
    </row>
    <row r="60" spans="1:15" x14ac:dyDescent="0.25">
      <c r="A60" s="6"/>
      <c r="B60" s="3" t="s">
        <v>247</v>
      </c>
      <c r="C60" s="1">
        <f t="shared" ca="1" si="0"/>
        <v>1</v>
      </c>
      <c r="D60" s="1" t="s">
        <v>263</v>
      </c>
      <c r="E60" s="1" t="s">
        <v>641</v>
      </c>
      <c r="F60" s="1" t="s">
        <v>641</v>
      </c>
      <c r="G60" s="1" t="s">
        <v>586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5"/>
        <v>createMovieClipSub</v>
      </c>
      <c r="K60" s="1" t="str">
        <f t="shared" si="17"/>
        <v>haze8</v>
      </c>
      <c r="L60" s="1"/>
      <c r="M60" s="1"/>
      <c r="N60" s="14" t="str">
        <f t="shared" ca="1" si="6"/>
        <v>MovieClipSub * haze8;</v>
      </c>
      <c r="O60" s="14" t="str">
        <f t="shared" ca="1" si="2"/>
        <v>haze8= this-&gt;createMovieClipSub("haze8");</v>
      </c>
    </row>
    <row r="61" spans="1:15" x14ac:dyDescent="0.25">
      <c r="A61" s="6"/>
      <c r="B61" s="3" t="s">
        <v>248</v>
      </c>
      <c r="C61" s="1">
        <f t="shared" ca="1" si="0"/>
        <v>1</v>
      </c>
      <c r="D61" s="1" t="s">
        <v>263</v>
      </c>
      <c r="E61" s="1" t="s">
        <v>641</v>
      </c>
      <c r="F61" s="1" t="s">
        <v>641</v>
      </c>
      <c r="G61" s="1" t="s">
        <v>586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5"/>
        <v>createMovieClipSub</v>
      </c>
      <c r="K61" s="1" t="str">
        <f t="shared" si="17"/>
        <v>haze9</v>
      </c>
      <c r="L61" s="1"/>
      <c r="M61" s="1"/>
      <c r="N61" s="14" t="str">
        <f t="shared" ca="1" si="6"/>
        <v>MovieClipSub * haze9;</v>
      </c>
      <c r="O61" s="14" t="str">
        <f t="shared" ca="1" si="2"/>
        <v>haze9= this-&gt;createMovieClipSub("haze9");</v>
      </c>
    </row>
    <row r="62" spans="1:15" x14ac:dyDescent="0.25">
      <c r="A62" s="6"/>
      <c r="B62" s="1" t="s">
        <v>234</v>
      </c>
      <c r="C62" s="1">
        <f t="shared" ca="1" si="0"/>
        <v>0</v>
      </c>
      <c r="D62" s="1" t="s">
        <v>263</v>
      </c>
      <c r="E62" s="1" t="s">
        <v>641</v>
      </c>
      <c r="F62" s="1" t="s">
        <v>641</v>
      </c>
      <c r="G62" s="21" t="s">
        <v>587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5"/>
        <v>createMovieClip</v>
      </c>
      <c r="K62" s="1" t="str">
        <f t="shared" si="17"/>
        <v>CastGetAllSwamp_mc</v>
      </c>
      <c r="L62" s="1"/>
      <c r="M62" s="1"/>
      <c r="N62" s="14" t="str">
        <f t="shared" ca="1" si="6"/>
        <v/>
      </c>
      <c r="O62" s="14" t="str">
        <f t="shared" ca="1" si="2"/>
        <v>CastGetAllSwamp_mc::CastGetAllSwamp_mc:MovieClip("worldinterface/","CastGetAllSwamp_mc","CastGetAllSwamp_mc"{)</v>
      </c>
    </row>
    <row r="63" spans="1:15" x14ac:dyDescent="0.25">
      <c r="A63" s="6"/>
      <c r="B63" s="3" t="s">
        <v>235</v>
      </c>
      <c r="C63" s="1">
        <f t="shared" ca="1" si="0"/>
        <v>1</v>
      </c>
      <c r="D63" s="1" t="s">
        <v>263</v>
      </c>
      <c r="E63" s="1" t="s">
        <v>641</v>
      </c>
      <c r="F63" s="1" t="s">
        <v>641</v>
      </c>
      <c r="G63" s="1" t="s">
        <v>586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5"/>
        <v>createMovieClipSub</v>
      </c>
      <c r="K63" s="1" t="str">
        <f t="shared" si="17"/>
        <v>swamp1</v>
      </c>
      <c r="L63" s="1"/>
      <c r="M63" s="1"/>
      <c r="N63" s="14" t="str">
        <f t="shared" ca="1" si="6"/>
        <v>MovieClipSub * swamp1;</v>
      </c>
      <c r="O63" s="14" t="str">
        <f t="shared" ca="1" si="2"/>
        <v>swamp1= this-&gt;createMovieClipSub("swamp1");</v>
      </c>
    </row>
    <row r="64" spans="1:15" x14ac:dyDescent="0.25">
      <c r="A64" s="6"/>
      <c r="B64" s="3" t="s">
        <v>236</v>
      </c>
      <c r="C64" s="1">
        <f t="shared" ca="1" si="0"/>
        <v>1</v>
      </c>
      <c r="D64" s="1" t="s">
        <v>263</v>
      </c>
      <c r="E64" s="1" t="s">
        <v>641</v>
      </c>
      <c r="F64" s="1" t="s">
        <v>641</v>
      </c>
      <c r="G64" s="1" t="s">
        <v>586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5"/>
        <v>createMovieClipSub</v>
      </c>
      <c r="K64" s="1" t="str">
        <f t="shared" si="17"/>
        <v>swamp2</v>
      </c>
      <c r="L64" s="1"/>
      <c r="M64" s="1"/>
      <c r="N64" s="14" t="str">
        <f t="shared" ca="1" si="6"/>
        <v>MovieClipSub * swamp2;</v>
      </c>
      <c r="O64" s="14" t="str">
        <f t="shared" ca="1" si="2"/>
        <v>swamp2= this-&gt;createMovieClipSub("swamp2");</v>
      </c>
    </row>
    <row r="65" spans="1:15" x14ac:dyDescent="0.25">
      <c r="A65" s="6"/>
      <c r="B65" s="3" t="s">
        <v>237</v>
      </c>
      <c r="C65" s="1">
        <f t="shared" ca="1" si="0"/>
        <v>1</v>
      </c>
      <c r="D65" s="1" t="s">
        <v>263</v>
      </c>
      <c r="E65" s="1" t="s">
        <v>641</v>
      </c>
      <c r="F65" s="1" t="s">
        <v>641</v>
      </c>
      <c r="G65" s="1" t="s">
        <v>586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5"/>
        <v>createMovieClipSub</v>
      </c>
      <c r="K65" s="1" t="str">
        <f t="shared" si="17"/>
        <v>swamp3</v>
      </c>
      <c r="L65" s="1"/>
      <c r="M65" s="1"/>
      <c r="N65" s="14" t="str">
        <f t="shared" ca="1" si="6"/>
        <v>MovieClipSub * swamp3;</v>
      </c>
      <c r="O65" s="14" t="str">
        <f t="shared" ca="1" si="2"/>
        <v>swamp3= this-&gt;createMovieClipSub("swamp3");</v>
      </c>
    </row>
    <row r="66" spans="1:15" x14ac:dyDescent="0.25">
      <c r="A66" s="6"/>
      <c r="B66" s="3" t="s">
        <v>238</v>
      </c>
      <c r="C66" s="1">
        <f t="shared" ca="1" si="0"/>
        <v>1</v>
      </c>
      <c r="D66" s="1" t="s">
        <v>263</v>
      </c>
      <c r="E66" s="1" t="s">
        <v>641</v>
      </c>
      <c r="F66" s="1" t="s">
        <v>641</v>
      </c>
      <c r="G66" s="1" t="s">
        <v>586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5"/>
        <v>createMovieClipSub</v>
      </c>
      <c r="K66" s="1" t="str">
        <f t="shared" si="17"/>
        <v>swamp4</v>
      </c>
      <c r="L66" s="1"/>
      <c r="M66" s="1"/>
      <c r="N66" s="14" t="str">
        <f t="shared" ca="1" si="6"/>
        <v>MovieClipSub * swamp4;</v>
      </c>
      <c r="O66" s="14" t="str">
        <f t="shared" ref="O66:O129" ca="1" si="18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swamp4= this-&gt;createMovieClipSub("swamp4");</v>
      </c>
    </row>
    <row r="67" spans="1:15" x14ac:dyDescent="0.25">
      <c r="A67" s="6"/>
      <c r="B67" s="3" t="s">
        <v>239</v>
      </c>
      <c r="C67" s="1">
        <f t="shared" ca="1" si="0"/>
        <v>1</v>
      </c>
      <c r="D67" s="1" t="s">
        <v>263</v>
      </c>
      <c r="E67" s="1" t="s">
        <v>641</v>
      </c>
      <c r="F67" s="1" t="s">
        <v>641</v>
      </c>
      <c r="G67" s="1" t="s">
        <v>586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9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4" t="str">
        <f t="shared" ref="N67:N139" ca="1" si="20">IF(C67&gt;0,G67 &amp; " * "&amp;H67 &amp;";","")</f>
        <v>MovieClipSub * swamp5;</v>
      </c>
      <c r="O67" s="14" t="str">
        <f t="shared" ca="1" si="18"/>
        <v>swamp5= this-&gt;createMovieClipSub("swamp5");</v>
      </c>
    </row>
    <row r="68" spans="1:15" x14ac:dyDescent="0.25">
      <c r="A68" s="6" t="s">
        <v>260</v>
      </c>
      <c r="B68" s="1" t="s">
        <v>264</v>
      </c>
      <c r="C68" s="1">
        <f t="shared" ca="1" si="0"/>
        <v>0</v>
      </c>
      <c r="D68" s="1" t="s">
        <v>632</v>
      </c>
      <c r="E68" s="1" t="s">
        <v>657</v>
      </c>
      <c r="F68" s="1" t="s">
        <v>620</v>
      </c>
      <c r="G68" s="21" t="s">
        <v>587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9"/>
        <v>createMovieClip</v>
      </c>
      <c r="K68" s="1" t="str">
        <f t="shared" si="17"/>
        <v>Level1_mc</v>
      </c>
      <c r="L68" s="1"/>
      <c r="M68" s="1"/>
      <c r="N68" s="14" t="str">
        <f t="shared" ca="1" si="20"/>
        <v/>
      </c>
      <c r="O68" s="14" t="str">
        <f t="shared" ca="1" si="18"/>
        <v>Level1_mc::Level1_mc:MovieClip("worldinterface/","Level1_mc","Level1_mc"{)</v>
      </c>
    </row>
    <row r="69" spans="1:15" x14ac:dyDescent="0.25">
      <c r="A69" s="6"/>
      <c r="B69" s="3" t="s">
        <v>275</v>
      </c>
      <c r="C69" s="1">
        <f t="shared" ca="1" si="0"/>
        <v>1</v>
      </c>
      <c r="D69" s="1" t="s">
        <v>632</v>
      </c>
      <c r="E69" s="1" t="s">
        <v>657</v>
      </c>
      <c r="F69" s="1" t="s">
        <v>620</v>
      </c>
      <c r="G69" s="1" t="s">
        <v>651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9"/>
        <v>createMovieClipSub</v>
      </c>
      <c r="K69" s="1" t="str">
        <f t="shared" si="17"/>
        <v>decoration</v>
      </c>
      <c r="L69" s="1"/>
      <c r="M69" s="1"/>
      <c r="N69" s="14" t="str">
        <f t="shared" ca="1" si="20"/>
        <v>MovieClipSub * decoration;</v>
      </c>
      <c r="O69" s="14" t="str">
        <f t="shared" ca="1" si="18"/>
        <v>decoration= this-&gt;createMovieClipSub("decoration");</v>
      </c>
    </row>
    <row r="70" spans="1:15" x14ac:dyDescent="0.25">
      <c r="A70" s="6"/>
      <c r="B70" s="3" t="s">
        <v>274</v>
      </c>
      <c r="C70" s="1">
        <f t="shared" ca="1" si="0"/>
        <v>1</v>
      </c>
      <c r="D70" s="1" t="s">
        <v>632</v>
      </c>
      <c r="E70" s="1" t="s">
        <v>657</v>
      </c>
      <c r="F70" s="1" t="s">
        <v>620</v>
      </c>
      <c r="G70" s="1" t="s">
        <v>586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9"/>
        <v>createMovieClipSub</v>
      </c>
      <c r="K70" s="1" t="str">
        <f t="shared" si="17"/>
        <v>decoration1</v>
      </c>
      <c r="L70" s="1"/>
      <c r="M70" s="1"/>
      <c r="N70" s="14" t="str">
        <f t="shared" ca="1" si="20"/>
        <v>MovieClipSub * decoration1;</v>
      </c>
      <c r="O70" s="14" t="str">
        <f t="shared" ca="1" si="18"/>
        <v>decoration1= this-&gt;createMovieClipSub("decoration1");</v>
      </c>
    </row>
    <row r="71" spans="1:15" x14ac:dyDescent="0.25">
      <c r="A71" s="6"/>
      <c r="B71" s="3" t="s">
        <v>273</v>
      </c>
      <c r="C71" s="1">
        <f t="shared" ref="C71:C148" ca="1" si="21">indent(B71)</f>
        <v>1</v>
      </c>
      <c r="D71" s="1" t="s">
        <v>632</v>
      </c>
      <c r="E71" s="1" t="s">
        <v>657</v>
      </c>
      <c r="F71" s="1" t="s">
        <v>620</v>
      </c>
      <c r="G71" s="1" t="s">
        <v>669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9"/>
        <v>createCase</v>
      </c>
      <c r="K71" s="1" t="str">
        <f t="shared" ref="K71:K96" si="22">B71</f>
        <v>decorationCase</v>
      </c>
      <c r="L71" s="1"/>
      <c r="M71" s="1"/>
      <c r="N71" s="14" t="str">
        <f t="shared" ca="1" si="20"/>
        <v>MCCase * decorationCase;</v>
      </c>
      <c r="O71" s="14" t="str">
        <f t="shared" ca="1" si="18"/>
        <v>decorationCase= this-&gt;createCase("decorationCase");</v>
      </c>
    </row>
    <row r="72" spans="1:15" x14ac:dyDescent="0.25">
      <c r="A72" s="6"/>
      <c r="B72" s="3" t="s">
        <v>269</v>
      </c>
      <c r="C72" s="1">
        <f t="shared" ca="1" si="21"/>
        <v>1</v>
      </c>
      <c r="D72" s="1" t="s">
        <v>632</v>
      </c>
      <c r="E72" s="1" t="s">
        <v>657</v>
      </c>
      <c r="F72" s="1" t="s">
        <v>620</v>
      </c>
      <c r="G72" s="1" t="s">
        <v>655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9"/>
        <v>createMovieClip</v>
      </c>
      <c r="K72" s="1" t="str">
        <f>B72</f>
        <v>flag1</v>
      </c>
      <c r="L72" s="1" t="s">
        <v>656</v>
      </c>
      <c r="M72" s="1"/>
      <c r="N72" s="14" t="str">
        <f t="shared" ca="1" si="20"/>
        <v>MovieClip * flag1;</v>
      </c>
      <c r="O72" s="14" t="str">
        <f t="shared" ca="1" si="18"/>
        <v>flag1= this-&gt;createMovieClip("flag1","worldinterface/","flag","flag1");</v>
      </c>
    </row>
    <row r="73" spans="1:15" x14ac:dyDescent="0.25">
      <c r="A73" s="6"/>
      <c r="B73" s="3" t="s">
        <v>270</v>
      </c>
      <c r="C73" s="1">
        <f t="shared" ca="1" si="21"/>
        <v>1</v>
      </c>
      <c r="D73" s="1" t="s">
        <v>632</v>
      </c>
      <c r="E73" s="1" t="s">
        <v>657</v>
      </c>
      <c r="F73" s="1" t="s">
        <v>620</v>
      </c>
      <c r="G73" s="1" t="s">
        <v>655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9"/>
        <v>createMovieClip</v>
      </c>
      <c r="K73" s="1" t="str">
        <f t="shared" si="22"/>
        <v>flag2</v>
      </c>
      <c r="L73" s="1" t="s">
        <v>656</v>
      </c>
      <c r="M73" s="1"/>
      <c r="N73" s="14" t="str">
        <f t="shared" ca="1" si="20"/>
        <v>MovieClip * flag2;</v>
      </c>
      <c r="O73" s="14" t="str">
        <f t="shared" ca="1" si="18"/>
        <v>flag2= this-&gt;createMovieClip("flag2","worldinterface/","flag","flag2");</v>
      </c>
    </row>
    <row r="74" spans="1:15" x14ac:dyDescent="0.25">
      <c r="A74" s="6"/>
      <c r="B74" s="3" t="s">
        <v>271</v>
      </c>
      <c r="C74" s="1">
        <f t="shared" ca="1" si="21"/>
        <v>1</v>
      </c>
      <c r="D74" s="1" t="s">
        <v>632</v>
      </c>
      <c r="E74" s="1" t="s">
        <v>657</v>
      </c>
      <c r="F74" s="1" t="s">
        <v>620</v>
      </c>
      <c r="G74" s="1" t="s">
        <v>655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9"/>
        <v>createMovieClip</v>
      </c>
      <c r="K74" s="1" t="str">
        <f t="shared" si="22"/>
        <v>place1</v>
      </c>
      <c r="L74" s="1" t="s">
        <v>653</v>
      </c>
      <c r="M74" s="1"/>
      <c r="N74" s="14" t="str">
        <f t="shared" ca="1" si="20"/>
        <v>MovieClip * place1;</v>
      </c>
      <c r="O74" s="14" t="str">
        <f t="shared" ca="1" si="18"/>
        <v>place1= this-&gt;createMovieClip("place1","worldinterface/","placeLeft","place1");</v>
      </c>
    </row>
    <row r="75" spans="1:15" x14ac:dyDescent="0.25">
      <c r="A75" s="6"/>
      <c r="B75" s="3" t="s">
        <v>272</v>
      </c>
      <c r="C75" s="1">
        <f t="shared" ca="1" si="21"/>
        <v>1</v>
      </c>
      <c r="D75" s="1" t="s">
        <v>632</v>
      </c>
      <c r="E75" s="1" t="s">
        <v>657</v>
      </c>
      <c r="F75" s="1" t="s">
        <v>620</v>
      </c>
      <c r="G75" s="1" t="s">
        <v>655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9"/>
        <v>createMovieClip</v>
      </c>
      <c r="K75" s="1" t="str">
        <f t="shared" si="22"/>
        <v>place2</v>
      </c>
      <c r="L75" s="1" t="s">
        <v>653</v>
      </c>
      <c r="M75" s="1"/>
      <c r="N75" s="14" t="str">
        <f t="shared" ca="1" si="20"/>
        <v>MovieClip * place2;</v>
      </c>
      <c r="O75" s="14" t="str">
        <f t="shared" ca="1" si="18"/>
        <v>place2= this-&gt;createMovieClip("place2","worldinterface/","placeLeft","place2");</v>
      </c>
    </row>
    <row r="76" spans="1:15" x14ac:dyDescent="0.25">
      <c r="A76" s="6"/>
      <c r="B76" s="3" t="s">
        <v>268</v>
      </c>
      <c r="C76" s="1">
        <f t="shared" ca="1" si="21"/>
        <v>1</v>
      </c>
      <c r="D76" s="1" t="s">
        <v>632</v>
      </c>
      <c r="E76" s="1" t="s">
        <v>657</v>
      </c>
      <c r="F76" s="1" t="s">
        <v>620</v>
      </c>
      <c r="G76" s="1" t="s">
        <v>655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9"/>
        <v>createMovieClip</v>
      </c>
      <c r="K76" s="1" t="str">
        <f t="shared" si="22"/>
        <v>place3</v>
      </c>
      <c r="L76" s="1" t="s">
        <v>654</v>
      </c>
      <c r="M76" s="1"/>
      <c r="N76" s="14" t="str">
        <f t="shared" ca="1" si="20"/>
        <v>MovieClip * place3;</v>
      </c>
      <c r="O76" s="14" t="str">
        <f t="shared" ca="1" si="18"/>
        <v>place3= this-&gt;createMovieClip("place3","worldinterface/","placeRight","place3");</v>
      </c>
    </row>
    <row r="77" spans="1:15" x14ac:dyDescent="0.25">
      <c r="A77" s="6"/>
      <c r="B77" s="3" t="s">
        <v>267</v>
      </c>
      <c r="C77" s="1">
        <f t="shared" ca="1" si="21"/>
        <v>1</v>
      </c>
      <c r="D77" s="1" t="s">
        <v>632</v>
      </c>
      <c r="E77" s="1" t="s">
        <v>657</v>
      </c>
      <c r="F77" s="1" t="s">
        <v>620</v>
      </c>
      <c r="G77" s="1" t="s">
        <v>655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9"/>
        <v>createMovieClip</v>
      </c>
      <c r="K77" s="1" t="str">
        <f t="shared" si="22"/>
        <v>place4</v>
      </c>
      <c r="L77" s="1" t="s">
        <v>653</v>
      </c>
      <c r="M77" s="1"/>
      <c r="N77" s="14" t="str">
        <f t="shared" ca="1" si="20"/>
        <v>MovieClip * place4;</v>
      </c>
      <c r="O77" s="14" t="str">
        <f t="shared" ca="1" si="18"/>
        <v>place4= this-&gt;createMovieClip("place4","worldinterface/","placeLeft","place4");</v>
      </c>
    </row>
    <row r="78" spans="1:15" x14ac:dyDescent="0.25">
      <c r="A78" s="6"/>
      <c r="B78" s="3" t="s">
        <v>266</v>
      </c>
      <c r="C78" s="1">
        <f t="shared" ca="1" si="21"/>
        <v>1</v>
      </c>
      <c r="D78" s="1" t="s">
        <v>632</v>
      </c>
      <c r="E78" s="1" t="s">
        <v>657</v>
      </c>
      <c r="F78" s="1" t="s">
        <v>620</v>
      </c>
      <c r="G78" s="1" t="s">
        <v>655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9"/>
        <v>createMovieClip</v>
      </c>
      <c r="K78" s="1" t="str">
        <f t="shared" si="22"/>
        <v>place5</v>
      </c>
      <c r="L78" s="1" t="s">
        <v>654</v>
      </c>
      <c r="M78" s="1"/>
      <c r="N78" s="14" t="str">
        <f t="shared" ca="1" si="20"/>
        <v>MovieClip * place5;</v>
      </c>
      <c r="O78" s="14" t="str">
        <f t="shared" ca="1" si="18"/>
        <v>place5= this-&gt;createMovieClip("place5","worldinterface/","placeRight","place5");</v>
      </c>
    </row>
    <row r="79" spans="1:15" x14ac:dyDescent="0.25">
      <c r="A79" s="6"/>
      <c r="B79" s="3" t="s">
        <v>265</v>
      </c>
      <c r="C79" s="1">
        <f t="shared" ca="1" si="21"/>
        <v>1</v>
      </c>
      <c r="D79" s="1" t="s">
        <v>632</v>
      </c>
      <c r="E79" s="1" t="s">
        <v>657</v>
      </c>
      <c r="F79" s="1" t="s">
        <v>620</v>
      </c>
      <c r="G79" s="1" t="s">
        <v>655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9"/>
        <v>createMovieClip</v>
      </c>
      <c r="K79" s="1" t="str">
        <f t="shared" si="22"/>
        <v>pointer1</v>
      </c>
      <c r="L79" s="1" t="s">
        <v>652</v>
      </c>
      <c r="M79" s="1"/>
      <c r="N79" s="14" t="str">
        <f t="shared" ca="1" si="20"/>
        <v>MovieClip * pointer1;</v>
      </c>
      <c r="O79" s="14" t="str">
        <f t="shared" ca="1" si="18"/>
        <v>pointer1= this-&gt;createMovieClip("pointer1","worldinterface/","pointer","pointer1");</v>
      </c>
    </row>
    <row r="80" spans="1:15" x14ac:dyDescent="0.25">
      <c r="A80" s="64" t="s">
        <v>633</v>
      </c>
      <c r="B80" s="24" t="s">
        <v>628</v>
      </c>
      <c r="C80" s="1">
        <f ca="1">indent(B80)</f>
        <v>0</v>
      </c>
      <c r="D80" s="1" t="s">
        <v>263</v>
      </c>
      <c r="E80" s="1" t="s">
        <v>657</v>
      </c>
      <c r="F80" s="1" t="s">
        <v>620</v>
      </c>
      <c r="G80" s="21" t="s">
        <v>587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9"/>
        <v>createMovieClip</v>
      </c>
      <c r="K80" s="1" t="s">
        <v>627</v>
      </c>
      <c r="L80" s="1"/>
      <c r="M80" s="1"/>
      <c r="N80" s="14" t="str">
        <f t="shared" ca="1" si="20"/>
        <v/>
      </c>
      <c r="O80" s="14" t="str">
        <f t="shared" ca="1" si="18"/>
        <v>MovieClip("worldinterface","flag","LevelBase"{)</v>
      </c>
    </row>
    <row r="81" spans="1:15" x14ac:dyDescent="0.25">
      <c r="A81" s="65"/>
      <c r="B81" s="24" t="s">
        <v>629</v>
      </c>
      <c r="C81" s="1">
        <f ca="1">indent(B81)</f>
        <v>0</v>
      </c>
      <c r="D81" s="1" t="s">
        <v>263</v>
      </c>
      <c r="E81" s="1" t="s">
        <v>657</v>
      </c>
      <c r="F81" s="1" t="s">
        <v>620</v>
      </c>
      <c r="G81" s="21" t="s">
        <v>587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9"/>
        <v>createMovieClip</v>
      </c>
      <c r="K81" s="1" t="s">
        <v>627</v>
      </c>
      <c r="L81" s="1"/>
      <c r="M81" s="1"/>
      <c r="N81" s="14" t="str">
        <f t="shared" ca="1" si="20"/>
        <v/>
      </c>
      <c r="O81" s="14" t="str">
        <f t="shared" ca="1" si="18"/>
        <v>MovieClip("worldinterface","placeLeft","LevelBase"{)</v>
      </c>
    </row>
    <row r="82" spans="1:15" x14ac:dyDescent="0.25">
      <c r="A82" s="65"/>
      <c r="B82" s="39" t="s">
        <v>750</v>
      </c>
      <c r="C82" s="1">
        <f t="shared" ref="C82:C86" ca="1" si="23">indent(B82)</f>
        <v>1</v>
      </c>
      <c r="D82" s="1" t="s">
        <v>263</v>
      </c>
      <c r="E82" s="1" t="s">
        <v>126</v>
      </c>
      <c r="F82" s="1" t="s">
        <v>126</v>
      </c>
      <c r="G82" s="30" t="s">
        <v>752</v>
      </c>
      <c r="H82" s="1" t="str">
        <f t="shared" ref="H82:H83" ca="1" si="24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9"/>
        <v>createCase</v>
      </c>
      <c r="K82" s="1" t="s">
        <v>627</v>
      </c>
      <c r="L82" s="1"/>
      <c r="M82" s="1"/>
      <c r="N82" s="14" t="str">
        <f t="shared" ref="N82:N83" ca="1" si="25">IF(C82&gt;0,G82 &amp; " * "&amp;H82 &amp;";","")</f>
        <v>MCCase * placeForBuildCase;</v>
      </c>
      <c r="O82" s="14" t="str">
        <f t="shared" ca="1" si="18"/>
        <v>placeForBuildCase= this-&gt;createCase("LevelBase");</v>
      </c>
    </row>
    <row r="83" spans="1:15" x14ac:dyDescent="0.25">
      <c r="A83" s="65"/>
      <c r="B83" s="39" t="s">
        <v>751</v>
      </c>
      <c r="C83" s="1">
        <f t="shared" ca="1" si="23"/>
        <v>1</v>
      </c>
      <c r="D83" s="1" t="s">
        <v>263</v>
      </c>
      <c r="E83" s="1" t="s">
        <v>126</v>
      </c>
      <c r="F83" s="1" t="s">
        <v>126</v>
      </c>
      <c r="G83" s="30" t="s">
        <v>752</v>
      </c>
      <c r="H83" s="1" t="str">
        <f t="shared" ca="1" si="24"/>
        <v>buildPoint</v>
      </c>
      <c r="I83" s="1" t="str">
        <f ca="1">IF(C83&lt;2,"this",IF(C83=C82,I82,IF(C83&gt;C82,H82, LOOKUP(1,0/(H$2:H82=I82),I$2:I83))))</f>
        <v>this</v>
      </c>
      <c r="J83" s="1" t="str">
        <f t="shared" si="19"/>
        <v>createCase</v>
      </c>
      <c r="K83" s="1" t="s">
        <v>627</v>
      </c>
      <c r="L83" s="1"/>
      <c r="M83" s="1"/>
      <c r="N83" s="14" t="str">
        <f t="shared" ca="1" si="25"/>
        <v>MCCase * buildPoint;</v>
      </c>
      <c r="O83" s="14" t="str">
        <f t="shared" ca="1" si="18"/>
        <v>buildPoint= this-&gt;createCase("LevelBase");</v>
      </c>
    </row>
    <row r="84" spans="1:15" x14ac:dyDescent="0.25">
      <c r="A84" s="65"/>
      <c r="B84" s="24" t="s">
        <v>630</v>
      </c>
      <c r="C84" s="1">
        <f ca="1">indent(B84)</f>
        <v>0</v>
      </c>
      <c r="D84" s="1" t="s">
        <v>263</v>
      </c>
      <c r="E84" s="1" t="s">
        <v>657</v>
      </c>
      <c r="F84" s="1" t="s">
        <v>620</v>
      </c>
      <c r="G84" s="21" t="s">
        <v>587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9"/>
        <v>createMovieClip</v>
      </c>
      <c r="K84" s="1" t="s">
        <v>627</v>
      </c>
      <c r="L84" s="1"/>
      <c r="M84" s="1"/>
      <c r="N84" s="14" t="str">
        <f t="shared" ca="1" si="20"/>
        <v/>
      </c>
      <c r="O84" s="14" t="str">
        <f t="shared" ca="1" si="18"/>
        <v>MovieClip("worldinterface","placeRight","LevelBase"{)</v>
      </c>
    </row>
    <row r="85" spans="1:15" x14ac:dyDescent="0.25">
      <c r="A85" s="65"/>
      <c r="B85" s="39" t="s">
        <v>750</v>
      </c>
      <c r="C85" s="1">
        <f t="shared" ca="1" si="23"/>
        <v>1</v>
      </c>
      <c r="D85" s="1" t="s">
        <v>263</v>
      </c>
      <c r="E85" s="1" t="s">
        <v>126</v>
      </c>
      <c r="F85" s="1" t="s">
        <v>126</v>
      </c>
      <c r="G85" s="30" t="s">
        <v>752</v>
      </c>
      <c r="H85" s="1" t="str">
        <f t="shared" ref="H85:H86" ca="1" si="26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9"/>
        <v>createCase</v>
      </c>
      <c r="K85" s="1" t="s">
        <v>627</v>
      </c>
      <c r="L85" s="1"/>
      <c r="M85" s="1"/>
      <c r="N85" s="14" t="str">
        <f t="shared" ca="1" si="20"/>
        <v>MCCase * placeForBuildCase;</v>
      </c>
      <c r="O85" s="14" t="str">
        <f t="shared" ca="1" si="18"/>
        <v>placeForBuildCase= this-&gt;createCase("LevelBase");</v>
      </c>
    </row>
    <row r="86" spans="1:15" x14ac:dyDescent="0.25">
      <c r="A86" s="65"/>
      <c r="B86" s="39" t="s">
        <v>751</v>
      </c>
      <c r="C86" s="1">
        <f t="shared" ca="1" si="23"/>
        <v>1</v>
      </c>
      <c r="D86" s="1" t="s">
        <v>263</v>
      </c>
      <c r="E86" s="1" t="s">
        <v>126</v>
      </c>
      <c r="F86" s="1" t="s">
        <v>126</v>
      </c>
      <c r="G86" s="30" t="s">
        <v>752</v>
      </c>
      <c r="H86" s="1" t="str">
        <f t="shared" ca="1" si="26"/>
        <v>buildPoint</v>
      </c>
      <c r="I86" s="1" t="str">
        <f ca="1">IF(C86&lt;2,"this",IF(C86=C85,I85,IF(C86&gt;C85,H85, LOOKUP(1,0/(H$2:H85=I85),I$2:I86))))</f>
        <v>this</v>
      </c>
      <c r="J86" s="1" t="str">
        <f t="shared" si="19"/>
        <v>createCase</v>
      </c>
      <c r="K86" s="1" t="s">
        <v>627</v>
      </c>
      <c r="L86" s="1"/>
      <c r="M86" s="1"/>
      <c r="N86" s="14" t="str">
        <f t="shared" ca="1" si="20"/>
        <v>MCCase * buildPoint;</v>
      </c>
      <c r="O86" s="14" t="str">
        <f t="shared" ca="1" si="18"/>
        <v>buildPoint= this-&gt;createCase("LevelBase");</v>
      </c>
    </row>
    <row r="87" spans="1:15" x14ac:dyDescent="0.25">
      <c r="A87" s="66"/>
      <c r="B87" s="24" t="s">
        <v>631</v>
      </c>
      <c r="C87" s="1">
        <f ca="1">indent(B87)</f>
        <v>0</v>
      </c>
      <c r="D87" s="1" t="s">
        <v>263</v>
      </c>
      <c r="E87" s="1" t="s">
        <v>657</v>
      </c>
      <c r="F87" s="1" t="s">
        <v>620</v>
      </c>
      <c r="G87" s="21" t="s">
        <v>587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9"/>
        <v>createMovieClip</v>
      </c>
      <c r="K87" s="1" t="s">
        <v>627</v>
      </c>
      <c r="L87" s="1"/>
      <c r="M87" s="1"/>
      <c r="N87" s="14" t="str">
        <f t="shared" ca="1" si="20"/>
        <v/>
      </c>
      <c r="O87" s="14" t="str">
        <f t="shared" ca="1" si="18"/>
        <v>MovieClip("worldinterface","pointer","LevelBase"{)</v>
      </c>
    </row>
    <row r="88" spans="1:15" x14ac:dyDescent="0.25">
      <c r="A88" s="51"/>
      <c r="B88" s="39" t="s">
        <v>753</v>
      </c>
      <c r="C88" s="1">
        <f t="shared" ref="C88:C92" ca="1" si="27">indent(B88)</f>
        <v>1</v>
      </c>
      <c r="D88" s="1" t="s">
        <v>263</v>
      </c>
      <c r="E88" s="1" t="s">
        <v>126</v>
      </c>
      <c r="F88" s="1" t="s">
        <v>126</v>
      </c>
      <c r="G88" s="30" t="s">
        <v>752</v>
      </c>
      <c r="H88" s="1" t="str">
        <f t="shared" ref="H88:H92" ca="1" si="28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9"/>
        <v>createCase</v>
      </c>
      <c r="K88" s="1" t="s">
        <v>627</v>
      </c>
      <c r="L88" s="1"/>
      <c r="M88" s="1"/>
      <c r="N88" s="14" t="str">
        <f t="shared" ca="1" si="20"/>
        <v>MCCase * pointerCase;</v>
      </c>
      <c r="O88" s="14" t="str">
        <f t="shared" ca="1" si="18"/>
        <v>pointerCase= this-&gt;createCase("LevelBase");</v>
      </c>
    </row>
    <row r="89" spans="1:15" x14ac:dyDescent="0.25">
      <c r="A89" s="51"/>
      <c r="B89" s="39" t="s">
        <v>754</v>
      </c>
      <c r="C89" s="1">
        <f t="shared" ca="1" si="27"/>
        <v>1</v>
      </c>
      <c r="D89" s="1" t="s">
        <v>263</v>
      </c>
      <c r="E89" s="1" t="s">
        <v>126</v>
      </c>
      <c r="F89" s="1" t="s">
        <v>126</v>
      </c>
      <c r="G89" s="30" t="s">
        <v>763</v>
      </c>
      <c r="H89" s="1" t="str">
        <f t="shared" ca="1" si="28"/>
        <v>fireAnima</v>
      </c>
      <c r="I89" s="1" t="str">
        <f ca="1">IF(C89&lt;2,"this",IF(C89=C86,I86,IF(C89&gt;C86,H86, LOOKUP(1,0/(H$2:H86=I86),I$2:I89))))</f>
        <v>this</v>
      </c>
      <c r="J89" s="1" t="str">
        <f t="shared" si="19"/>
        <v>createMovieClipSub</v>
      </c>
      <c r="K89" s="1" t="s">
        <v>627</v>
      </c>
      <c r="L89" s="1"/>
      <c r="M89" s="1"/>
      <c r="N89" s="14" t="str">
        <f t="shared" ca="1" si="20"/>
        <v>MovieClipSub * fireAnima;</v>
      </c>
      <c r="O89" s="14" t="str">
        <f t="shared" ca="1" si="18"/>
        <v>fireAnima= this-&gt;createMovieClipSub("LevelBase");</v>
      </c>
    </row>
    <row r="90" spans="1:15" x14ac:dyDescent="0.25">
      <c r="A90" s="51"/>
      <c r="B90" s="39" t="s">
        <v>755</v>
      </c>
      <c r="C90" s="1">
        <f t="shared" ca="1" si="27"/>
        <v>1</v>
      </c>
      <c r="D90" s="1" t="s">
        <v>263</v>
      </c>
      <c r="E90" s="1" t="s">
        <v>126</v>
      </c>
      <c r="F90" s="1" t="s">
        <v>126</v>
      </c>
      <c r="G90" s="30" t="s">
        <v>763</v>
      </c>
      <c r="H90" s="1" t="str">
        <f t="shared" ca="1" si="28"/>
        <v>eyesAnima</v>
      </c>
      <c r="I90" s="1" t="str">
        <f ca="1">IF(C90&lt;2,"this",IF(C90=C87,I87,IF(C90&gt;C87,H87, LOOKUP(1,0/(H$2:H87=I87),I$2:I90))))</f>
        <v>this</v>
      </c>
      <c r="J90" s="1" t="str">
        <f t="shared" si="19"/>
        <v>createMovieClipSub</v>
      </c>
      <c r="K90" s="1" t="s">
        <v>627</v>
      </c>
      <c r="L90" s="1"/>
      <c r="M90" s="1"/>
      <c r="N90" s="14" t="str">
        <f t="shared" ca="1" si="20"/>
        <v>MovieClipSub * eyesAnima;</v>
      </c>
      <c r="O90" s="14" t="str">
        <f t="shared" ca="1" si="18"/>
        <v>eyesAnima= this-&gt;createMovieClipSub("LevelBase");</v>
      </c>
    </row>
    <row r="91" spans="1:15" x14ac:dyDescent="0.25">
      <c r="A91" s="51"/>
      <c r="B91" s="39" t="s">
        <v>761</v>
      </c>
      <c r="C91" s="1">
        <f t="shared" ca="1" si="27"/>
        <v>1</v>
      </c>
      <c r="D91" s="1" t="s">
        <v>263</v>
      </c>
      <c r="E91" s="1" t="s">
        <v>126</v>
      </c>
      <c r="F91" s="1" t="s">
        <v>126</v>
      </c>
      <c r="G91" s="30" t="s">
        <v>752</v>
      </c>
      <c r="H91" s="1" t="str">
        <f t="shared" ca="1" si="28"/>
        <v>mask1</v>
      </c>
      <c r="I91" s="1" t="str">
        <f ca="1">IF(C91&lt;2,"this",IF(C91=C88,I88,IF(C91&gt;C88,H88, LOOKUP(1,0/(H$2:H88=I88),I$2:I91))))</f>
        <v>this</v>
      </c>
      <c r="J91" s="1" t="str">
        <f t="shared" si="19"/>
        <v>createCase</v>
      </c>
      <c r="K91" s="1" t="s">
        <v>627</v>
      </c>
      <c r="L91" s="1"/>
      <c r="M91" s="1"/>
      <c r="N91" s="14" t="str">
        <f t="shared" ca="1" si="20"/>
        <v>MCCase * mask1;</v>
      </c>
      <c r="O91" s="14" t="str">
        <f t="shared" ca="1" si="18"/>
        <v>mask1= this-&gt;createCase("LevelBase");</v>
      </c>
    </row>
    <row r="92" spans="1:15" x14ac:dyDescent="0.25">
      <c r="A92" s="51"/>
      <c r="B92" s="39" t="s">
        <v>762</v>
      </c>
      <c r="C92" s="1">
        <f t="shared" ca="1" si="27"/>
        <v>1</v>
      </c>
      <c r="D92" s="1" t="s">
        <v>263</v>
      </c>
      <c r="E92" s="1" t="s">
        <v>126</v>
      </c>
      <c r="F92" s="1" t="s">
        <v>126</v>
      </c>
      <c r="G92" s="30" t="s">
        <v>752</v>
      </c>
      <c r="H92" s="1" t="str">
        <f t="shared" ca="1" si="28"/>
        <v>mask2</v>
      </c>
      <c r="I92" s="1" t="str">
        <f ca="1">IF(C92&lt;2,"this",IF(C92=C89,I89,IF(C92&gt;C89,H89, LOOKUP(1,0/(H$2:H89=I89),I$2:I92))))</f>
        <v>this</v>
      </c>
      <c r="J92" s="1" t="str">
        <f t="shared" si="19"/>
        <v>createCase</v>
      </c>
      <c r="K92" s="1" t="s">
        <v>627</v>
      </c>
      <c r="L92" s="1"/>
      <c r="M92" s="1"/>
      <c r="N92" s="14" t="str">
        <f t="shared" ca="1" si="20"/>
        <v>MCCase * mask2;</v>
      </c>
      <c r="O92" s="14" t="str">
        <f t="shared" ca="1" si="18"/>
        <v>mask2= this-&gt;createCase("LevelBase");</v>
      </c>
    </row>
    <row r="93" spans="1:15" x14ac:dyDescent="0.25">
      <c r="A93" s="6"/>
      <c r="B93" s="6" t="s">
        <v>286</v>
      </c>
      <c r="C93" s="1">
        <f t="shared" ca="1" si="21"/>
        <v>0</v>
      </c>
      <c r="D93" s="1" t="s">
        <v>263</v>
      </c>
      <c r="E93" s="1" t="s">
        <v>620</v>
      </c>
      <c r="F93" s="1" t="s">
        <v>620</v>
      </c>
      <c r="G93" s="21" t="s">
        <v>587</v>
      </c>
      <c r="H93" s="1" t="str">
        <f t="shared" ca="1" si="13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9"/>
        <v>createMovieClip</v>
      </c>
      <c r="K93" s="1" t="str">
        <f>B93</f>
        <v>RoadsignFire_mc</v>
      </c>
      <c r="L93" s="1"/>
      <c r="M93" s="1"/>
      <c r="N93" s="14" t="str">
        <f t="shared" ca="1" si="20"/>
        <v/>
      </c>
      <c r="O93" s="14" t="str">
        <f t="shared" ca="1" si="18"/>
        <v>RoadsignFire_mc::RoadsignFire_mc:MovieClip("worldinterface/","RoadsignFire_mc","RoadsignFire_mc"{)</v>
      </c>
    </row>
    <row r="94" spans="1:15" x14ac:dyDescent="0.25">
      <c r="A94" s="6"/>
      <c r="B94" s="1" t="s">
        <v>277</v>
      </c>
      <c r="C94" s="1">
        <f t="shared" ca="1" si="21"/>
        <v>0</v>
      </c>
      <c r="D94" s="1" t="s">
        <v>263</v>
      </c>
      <c r="E94" s="1" t="s">
        <v>620</v>
      </c>
      <c r="F94" s="1" t="s">
        <v>620</v>
      </c>
      <c r="G94" s="21" t="s">
        <v>587</v>
      </c>
      <c r="H94" s="1" t="str">
        <f t="shared" ca="1" si="13"/>
        <v>RoadsignIce_mc</v>
      </c>
      <c r="I94" s="1" t="str">
        <f ca="1">IF(C94&lt;2,"this",IF(C94=C93,I93,IF(C94&gt;C93,H93, LOOKUP(1,0/(H$2:H93=I93),I$2:I94))))</f>
        <v>this</v>
      </c>
      <c r="J94" s="1" t="str">
        <f t="shared" si="19"/>
        <v>createMovieClip</v>
      </c>
      <c r="K94" s="1" t="str">
        <f t="shared" si="22"/>
        <v>RoadsignIce_mc</v>
      </c>
      <c r="L94" s="1"/>
      <c r="M94" s="1"/>
      <c r="N94" s="14" t="str">
        <f t="shared" ca="1" si="20"/>
        <v/>
      </c>
      <c r="O94" s="14" t="str">
        <f t="shared" ca="1" si="18"/>
        <v>RoadsignIce_mc::RoadsignIce_mc:MovieClip("worldinterface/","RoadsignIce_mc","RoadsignIce_mc"{)</v>
      </c>
    </row>
    <row r="95" spans="1:15" x14ac:dyDescent="0.25">
      <c r="A95" s="6"/>
      <c r="B95" s="1" t="s">
        <v>278</v>
      </c>
      <c r="C95" s="1">
        <f t="shared" ca="1" si="21"/>
        <v>0</v>
      </c>
      <c r="D95" s="1" t="s">
        <v>263</v>
      </c>
      <c r="E95" s="1" t="s">
        <v>620</v>
      </c>
      <c r="F95" s="1" t="s">
        <v>620</v>
      </c>
      <c r="G95" s="21" t="s">
        <v>587</v>
      </c>
      <c r="H95" s="1" t="str">
        <f t="shared" ca="1" si="13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9"/>
        <v>createMovieClip</v>
      </c>
      <c r="K95" s="1" t="str">
        <f t="shared" si="22"/>
        <v>RoadsignStone_mc</v>
      </c>
      <c r="L95" s="1"/>
      <c r="M95" s="1"/>
      <c r="N95" s="14" t="str">
        <f t="shared" ca="1" si="20"/>
        <v/>
      </c>
      <c r="O95" s="14" t="str">
        <f t="shared" ca="1" si="18"/>
        <v>RoadsignStone_mc::RoadsignStone_mc:MovieClip("worldinterface/","RoadsignStone_mc","RoadsignStone_mc"{)</v>
      </c>
    </row>
    <row r="96" spans="1:15" x14ac:dyDescent="0.25">
      <c r="A96" s="6"/>
      <c r="B96" s="1" t="s">
        <v>279</v>
      </c>
      <c r="C96" s="1">
        <f t="shared" ca="1" si="21"/>
        <v>0</v>
      </c>
      <c r="D96" s="1" t="s">
        <v>263</v>
      </c>
      <c r="E96" s="1" t="s">
        <v>620</v>
      </c>
      <c r="F96" s="1" t="s">
        <v>620</v>
      </c>
      <c r="G96" s="21" t="s">
        <v>587</v>
      </c>
      <c r="H96" s="1" t="str">
        <f t="shared" ca="1" si="13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9"/>
        <v>createMovieClip</v>
      </c>
      <c r="K96" s="1" t="str">
        <f t="shared" si="22"/>
        <v>RoadsignLevin_mc</v>
      </c>
      <c r="L96" s="1"/>
      <c r="M96" s="1"/>
      <c r="N96" s="14" t="str">
        <f t="shared" ca="1" si="20"/>
        <v/>
      </c>
      <c r="O96" s="14" t="str">
        <f t="shared" ca="1" si="18"/>
        <v>RoadsignLevin_mc::RoadsignLevin_mc:MovieClip("worldinterface/","RoadsignLevin_mc","RoadsignLevin_mc"{)</v>
      </c>
    </row>
    <row r="97" spans="1:15" s="35" customFormat="1" x14ac:dyDescent="0.25">
      <c r="A97" s="31"/>
      <c r="B97" s="32" t="s">
        <v>283</v>
      </c>
      <c r="C97" s="32">
        <f t="shared" ca="1" si="21"/>
        <v>0</v>
      </c>
      <c r="D97" s="32" t="s">
        <v>276</v>
      </c>
      <c r="E97" s="32"/>
      <c r="F97" s="32"/>
      <c r="G97" s="33" t="s">
        <v>587</v>
      </c>
      <c r="H97" s="32" t="str">
        <f t="shared" ca="1" si="13"/>
        <v>Level2_mc</v>
      </c>
      <c r="I97" s="32" t="str">
        <f ca="1">IF(C97&lt;2,"this",IF(C97=C96,I96,IF(C97&gt;C96,H96, LOOKUP(1,0/(H$2:H96=I96),I$2:I97))))</f>
        <v>this</v>
      </c>
      <c r="J97" s="32" t="str">
        <f t="shared" si="19"/>
        <v>createMovieClip</v>
      </c>
      <c r="K97" s="32" t="str">
        <f t="shared" ref="K97:K106" si="29">B97</f>
        <v>Level2_mc</v>
      </c>
      <c r="L97" s="32"/>
      <c r="M97" s="32"/>
      <c r="N97" s="34" t="str">
        <f t="shared" ca="1" si="20"/>
        <v/>
      </c>
      <c r="O97" s="14" t="str">
        <f t="shared" ca="1" si="18"/>
        <v>Level2_mc::Level2_mc:MovieClip("worldinterface/level/","Level2_mc","Level2_mc"{)</v>
      </c>
    </row>
    <row r="98" spans="1:15" s="35" customFormat="1" x14ac:dyDescent="0.25">
      <c r="A98" s="31"/>
      <c r="B98" s="32" t="s">
        <v>284</v>
      </c>
      <c r="C98" s="32">
        <f t="shared" ca="1" si="21"/>
        <v>0</v>
      </c>
      <c r="D98" s="32" t="s">
        <v>276</v>
      </c>
      <c r="E98" s="32"/>
      <c r="F98" s="32"/>
      <c r="G98" s="33" t="s">
        <v>587</v>
      </c>
      <c r="H98" s="32" t="str">
        <f t="shared" ca="1" si="13"/>
        <v>Level3_mc</v>
      </c>
      <c r="I98" s="32" t="str">
        <f ca="1">IF(C98&lt;2,"this",IF(C98=C97,I97,IF(C98&gt;C97,H97, LOOKUP(1,0/(H$2:H97=I97),I$2:I98))))</f>
        <v>this</v>
      </c>
      <c r="J98" s="32" t="str">
        <f t="shared" si="19"/>
        <v>createMovieClip</v>
      </c>
      <c r="K98" s="32" t="str">
        <f t="shared" si="29"/>
        <v>Level3_mc</v>
      </c>
      <c r="L98" s="32"/>
      <c r="M98" s="32"/>
      <c r="N98" s="34" t="str">
        <f t="shared" ca="1" si="20"/>
        <v/>
      </c>
      <c r="O98" s="14" t="str">
        <f t="shared" ca="1" si="18"/>
        <v>Level3_mc::Level3_mc:MovieClip("worldinterface/level/","Level3_mc","Level3_mc"{)</v>
      </c>
    </row>
    <row r="99" spans="1:15" s="35" customFormat="1" x14ac:dyDescent="0.25">
      <c r="A99" s="31"/>
      <c r="B99" s="32" t="s">
        <v>285</v>
      </c>
      <c r="C99" s="32">
        <f t="shared" ca="1" si="21"/>
        <v>0</v>
      </c>
      <c r="D99" s="32" t="s">
        <v>276</v>
      </c>
      <c r="E99" s="32"/>
      <c r="F99" s="32"/>
      <c r="G99" s="33" t="s">
        <v>587</v>
      </c>
      <c r="H99" s="32" t="str">
        <f t="shared" ca="1" si="13"/>
        <v>Level4_mc</v>
      </c>
      <c r="I99" s="32" t="str">
        <f ca="1">IF(C99&lt;2,"this",IF(C99=C98,I98,IF(C99&gt;C98,H98, LOOKUP(1,0/(H$2:H98=I98),I$2:I99))))</f>
        <v>this</v>
      </c>
      <c r="J99" s="32" t="str">
        <f t="shared" si="19"/>
        <v>createMovieClip</v>
      </c>
      <c r="K99" s="32" t="str">
        <f t="shared" si="29"/>
        <v>Level4_mc</v>
      </c>
      <c r="L99" s="32"/>
      <c r="M99" s="32"/>
      <c r="N99" s="34" t="str">
        <f t="shared" ca="1" si="20"/>
        <v/>
      </c>
      <c r="O99" s="14" t="str">
        <f t="shared" ca="1" si="18"/>
        <v>Level4_mc::Level4_mc:MovieClip("worldinterface/level/","Level4_mc","Level4_mc"{)</v>
      </c>
    </row>
    <row r="100" spans="1:15" x14ac:dyDescent="0.25">
      <c r="A100" s="6" t="s">
        <v>281</v>
      </c>
      <c r="B100" s="1" t="s">
        <v>282</v>
      </c>
      <c r="C100" s="1">
        <f t="shared" ca="1" si="21"/>
        <v>0</v>
      </c>
      <c r="D100" s="1" t="s">
        <v>263</v>
      </c>
      <c r="E100" s="1" t="s">
        <v>620</v>
      </c>
      <c r="F100" s="1" t="s">
        <v>620</v>
      </c>
      <c r="G100" s="21" t="s">
        <v>587</v>
      </c>
      <c r="H100" s="1" t="str">
        <f t="shared" ca="1" si="13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9"/>
        <v>createMovieClip</v>
      </c>
      <c r="K100" s="1" t="str">
        <f t="shared" si="29"/>
        <v>BonusMoney_mc</v>
      </c>
      <c r="L100" s="1"/>
      <c r="M100" s="1"/>
      <c r="N100" s="14" t="str">
        <f t="shared" ca="1" si="20"/>
        <v/>
      </c>
      <c r="O100" s="14" t="str">
        <f t="shared" ca="1" si="18"/>
        <v>BonusMoney_mc::BonusMoney_mc:MovieClip("worldinterface/","BonusMoney_mc","BonusMoney_mc"{)</v>
      </c>
    </row>
    <row r="101" spans="1:15" x14ac:dyDescent="0.25">
      <c r="A101" s="6"/>
      <c r="B101" s="3" t="s">
        <v>80</v>
      </c>
      <c r="C101" s="1">
        <f t="shared" ca="1" si="21"/>
        <v>1</v>
      </c>
      <c r="D101" s="1" t="s">
        <v>263</v>
      </c>
      <c r="E101" s="1" t="s">
        <v>620</v>
      </c>
      <c r="F101" s="1" t="s">
        <v>620</v>
      </c>
      <c r="G101" s="1" t="s">
        <v>586</v>
      </c>
      <c r="H101" s="1" t="str">
        <f t="shared" ca="1" si="13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9"/>
        <v>createMovieClipSub</v>
      </c>
      <c r="K101" s="1" t="str">
        <f t="shared" si="29"/>
        <v>cont</v>
      </c>
      <c r="L101" s="1"/>
      <c r="M101" s="1"/>
      <c r="N101" s="14" t="str">
        <f t="shared" ca="1" si="20"/>
        <v>MovieClipSub * cont;</v>
      </c>
      <c r="O101" s="14" t="str">
        <f t="shared" ca="1" si="18"/>
        <v>cont= this-&gt;createMovieClipSub("cont");</v>
      </c>
    </row>
    <row r="102" spans="1:15" x14ac:dyDescent="0.25">
      <c r="A102" s="6"/>
      <c r="B102" s="4" t="s">
        <v>154</v>
      </c>
      <c r="C102" s="1">
        <f t="shared" ca="1" si="21"/>
        <v>2</v>
      </c>
      <c r="D102" s="1" t="s">
        <v>263</v>
      </c>
      <c r="E102" s="1" t="s">
        <v>620</v>
      </c>
      <c r="F102" s="1" t="s">
        <v>620</v>
      </c>
      <c r="G102" s="1" t="s">
        <v>671</v>
      </c>
      <c r="H102" s="1" t="str">
        <f t="shared" ca="1" si="13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9"/>
        <v>createText</v>
      </c>
      <c r="K102" s="1" t="str">
        <f t="shared" si="29"/>
        <v>noteTXT</v>
      </c>
      <c r="L102" s="1"/>
      <c r="M102" s="1"/>
      <c r="N102" s="14" t="str">
        <f t="shared" ca="1" si="20"/>
        <v>MCText * contNoteTXT;</v>
      </c>
      <c r="O102" s="14" t="str">
        <f t="shared" ca="1" si="18"/>
        <v>contNoteTXT= cont-&gt;createText("noteTXT");</v>
      </c>
    </row>
    <row r="103" spans="1:15" x14ac:dyDescent="0.25">
      <c r="A103" s="6" t="s">
        <v>287</v>
      </c>
      <c r="B103" s="1" t="s">
        <v>625</v>
      </c>
      <c r="C103" s="1">
        <f t="shared" ca="1" si="21"/>
        <v>0</v>
      </c>
      <c r="D103" s="1" t="s">
        <v>263</v>
      </c>
      <c r="E103" s="1" t="s">
        <v>620</v>
      </c>
      <c r="F103" s="1" t="s">
        <v>620</v>
      </c>
      <c r="G103" s="21" t="s">
        <v>587</v>
      </c>
      <c r="H103" s="1" t="str">
        <f t="shared" ca="1" si="13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9"/>
        <v>createMovieClip</v>
      </c>
      <c r="K103" s="1" t="str">
        <f t="shared" si="29"/>
        <v>MoneyAdd_mc</v>
      </c>
      <c r="L103" s="1"/>
      <c r="M103" s="1"/>
      <c r="N103" s="14" t="str">
        <f t="shared" ca="1" si="20"/>
        <v/>
      </c>
      <c r="O103" s="14" t="str">
        <f t="shared" ca="1" si="18"/>
        <v>MoneyAdd_mc::MoneyAdd_mc:MovieClip("worldinterface/","MoneyAdd_mc","MoneyAdd_mc"{)</v>
      </c>
    </row>
    <row r="104" spans="1:15" x14ac:dyDescent="0.25">
      <c r="A104" s="6"/>
      <c r="B104" s="3" t="s">
        <v>154</v>
      </c>
      <c r="C104" s="1">
        <f t="shared" ca="1" si="21"/>
        <v>1</v>
      </c>
      <c r="D104" s="1" t="s">
        <v>263</v>
      </c>
      <c r="E104" s="1" t="s">
        <v>620</v>
      </c>
      <c r="F104" s="1" t="s">
        <v>620</v>
      </c>
      <c r="G104" s="1" t="s">
        <v>671</v>
      </c>
      <c r="H104" s="1" t="str">
        <f t="shared" ref="H104" ca="1" si="30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9"/>
        <v>createText</v>
      </c>
      <c r="K104" s="1" t="str">
        <f t="shared" ref="K104" si="31">B104</f>
        <v>noteTXT</v>
      </c>
      <c r="L104" s="1"/>
      <c r="M104" s="1"/>
      <c r="N104" s="14" t="str">
        <f t="shared" ca="1" si="20"/>
        <v>MCText * noteTXT;</v>
      </c>
      <c r="O104" s="14" t="str">
        <f t="shared" ca="1" si="18"/>
        <v>noteTXT= this-&gt;createText("noteTXT");</v>
      </c>
    </row>
    <row r="105" spans="1:15" x14ac:dyDescent="0.25">
      <c r="A105" s="6" t="s">
        <v>288</v>
      </c>
      <c r="B105" s="1" t="s">
        <v>622</v>
      </c>
      <c r="C105" s="1">
        <f t="shared" ca="1" si="21"/>
        <v>0</v>
      </c>
      <c r="D105" s="1" t="s">
        <v>263</v>
      </c>
      <c r="E105" s="1" t="s">
        <v>620</v>
      </c>
      <c r="F105" s="1" t="s">
        <v>620</v>
      </c>
      <c r="G105" s="21" t="s">
        <v>587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9"/>
        <v>createMovieClip</v>
      </c>
      <c r="K105" s="1" t="str">
        <f t="shared" si="29"/>
        <v>SavedCastTime_mc</v>
      </c>
      <c r="L105" s="1"/>
      <c r="M105" s="1"/>
      <c r="N105" s="14" t="str">
        <f t="shared" ca="1" si="20"/>
        <v/>
      </c>
      <c r="O105" s="14" t="str">
        <f t="shared" ca="1" si="18"/>
        <v>SavedCastTime_mc::SavedCastTime_mc:MovieClip("worldinterface/","SavedCastTime_mc","SavedCastTime_mc"{)</v>
      </c>
    </row>
    <row r="106" spans="1:15" x14ac:dyDescent="0.25">
      <c r="A106" s="6"/>
      <c r="B106" s="3" t="s">
        <v>80</v>
      </c>
      <c r="C106" s="1">
        <f t="shared" ca="1" si="21"/>
        <v>1</v>
      </c>
      <c r="D106" s="1" t="s">
        <v>263</v>
      </c>
      <c r="E106" s="1" t="s">
        <v>620</v>
      </c>
      <c r="F106" s="1" t="s">
        <v>620</v>
      </c>
      <c r="G106" s="1" t="s">
        <v>623</v>
      </c>
      <c r="H106" s="1" t="str">
        <f t="shared" ref="H106:H119" ca="1" si="32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9"/>
        <v>createMovieClipSub</v>
      </c>
      <c r="K106" s="1" t="str">
        <f t="shared" si="29"/>
        <v>cont</v>
      </c>
      <c r="L106" s="1"/>
      <c r="M106" s="1"/>
      <c r="N106" s="14" t="str">
        <f t="shared" ca="1" si="20"/>
        <v>MovieClipSub * cont;</v>
      </c>
      <c r="O106" s="14" t="str">
        <f t="shared" ca="1" si="18"/>
        <v>cont= this-&gt;createMovieClipSub("cont");</v>
      </c>
    </row>
    <row r="107" spans="1:15" x14ac:dyDescent="0.25">
      <c r="A107" s="6"/>
      <c r="B107" s="4" t="s">
        <v>624</v>
      </c>
      <c r="C107" s="1">
        <f t="shared" ca="1" si="21"/>
        <v>2</v>
      </c>
      <c r="D107" s="1" t="s">
        <v>263</v>
      </c>
      <c r="E107" s="1" t="s">
        <v>620</v>
      </c>
      <c r="F107" s="1" t="s">
        <v>620</v>
      </c>
      <c r="G107" s="1" t="s">
        <v>671</v>
      </c>
      <c r="H107" s="1" t="str">
        <f t="shared" ca="1" si="32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9"/>
        <v>createText</v>
      </c>
      <c r="K107" s="1" t="str">
        <f t="shared" ref="K107" si="33">B107</f>
        <v>noteTXT</v>
      </c>
      <c r="L107" s="1"/>
      <c r="M107" s="1"/>
      <c r="N107" s="14" t="str">
        <f t="shared" ca="1" si="20"/>
        <v>MCText * contNoteTXT;</v>
      </c>
      <c r="O107" s="14" t="str">
        <f t="shared" ca="1" si="18"/>
        <v>contNoteTXT= cont-&gt;createText("noteTXT");</v>
      </c>
    </row>
    <row r="108" spans="1:15" ht="27.6" x14ac:dyDescent="0.25">
      <c r="A108" s="36" t="s">
        <v>678</v>
      </c>
      <c r="B108" s="1" t="s">
        <v>621</v>
      </c>
      <c r="C108" s="1">
        <f t="shared" ca="1" si="21"/>
        <v>0</v>
      </c>
      <c r="D108" s="1" t="s">
        <v>263</v>
      </c>
      <c r="E108" s="1" t="s">
        <v>620</v>
      </c>
      <c r="F108" s="1" t="s">
        <v>620</v>
      </c>
      <c r="G108" s="21" t="s">
        <v>587</v>
      </c>
      <c r="H108" s="1" t="str">
        <f t="shared" ca="1" si="32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9"/>
        <v>createMovieClip</v>
      </c>
      <c r="K108" s="1" t="str">
        <f t="shared" ref="K108:K119" si="34">B108</f>
        <v>CastMask_mc</v>
      </c>
      <c r="L108" s="1"/>
      <c r="M108" s="1"/>
      <c r="N108" s="14" t="str">
        <f t="shared" ca="1" si="20"/>
        <v/>
      </c>
      <c r="O108" s="14" t="str">
        <f t="shared" ca="1" si="18"/>
        <v>CastMask_mc::CastMask_mc:MovieClip("worldinterface/","CastMask_mc","CastMask_mc"{)</v>
      </c>
    </row>
    <row r="109" spans="1:15" x14ac:dyDescent="0.25">
      <c r="A109" s="6"/>
      <c r="B109" s="3" t="s">
        <v>251</v>
      </c>
      <c r="C109" s="1">
        <f t="shared" ca="1" si="21"/>
        <v>1</v>
      </c>
      <c r="D109" s="1" t="s">
        <v>263</v>
      </c>
      <c r="E109" s="1" t="s">
        <v>620</v>
      </c>
      <c r="F109" s="1" t="s">
        <v>620</v>
      </c>
      <c r="G109" s="1" t="s">
        <v>669</v>
      </c>
      <c r="H109" s="1" t="str">
        <f t="shared" ca="1" si="32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9"/>
        <v>createCase</v>
      </c>
      <c r="K109" s="1" t="str">
        <f t="shared" si="34"/>
        <v xml:space="preserve">archiveCase  </v>
      </c>
      <c r="L109" s="1"/>
      <c r="M109" s="1"/>
      <c r="N109" s="14" t="str">
        <f t="shared" ca="1" si="20"/>
        <v>MCCase * archiveCase  ;</v>
      </c>
      <c r="O109" s="14" t="str">
        <f t="shared" ca="1" si="18"/>
        <v>archiveCase  = this-&gt;createCase("archiveCase  ");</v>
      </c>
    </row>
    <row r="110" spans="1:15" x14ac:dyDescent="0.25">
      <c r="A110" s="6"/>
      <c r="B110" s="3" t="s">
        <v>250</v>
      </c>
      <c r="C110" s="1">
        <f t="shared" ca="1" si="21"/>
        <v>1</v>
      </c>
      <c r="D110" s="1" t="s">
        <v>263</v>
      </c>
      <c r="E110" s="1" t="s">
        <v>620</v>
      </c>
      <c r="F110" s="1" t="s">
        <v>620</v>
      </c>
      <c r="G110" s="1" t="s">
        <v>669</v>
      </c>
      <c r="H110" s="1" t="str">
        <f t="shared" ca="1" si="32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9"/>
        <v>createCase</v>
      </c>
      <c r="K110" s="1" t="str">
        <f t="shared" si="34"/>
        <v xml:space="preserve">castAirCase   </v>
      </c>
      <c r="L110" s="1"/>
      <c r="M110" s="1"/>
      <c r="N110" s="14" t="str">
        <f t="shared" ca="1" si="20"/>
        <v>MCCase * castAirCase   ;</v>
      </c>
      <c r="O110" s="14" t="str">
        <f t="shared" ca="1" si="18"/>
        <v>castAirCase   = this-&gt;createCase("castAirCase   ");</v>
      </c>
    </row>
    <row r="111" spans="1:15" x14ac:dyDescent="0.25">
      <c r="A111" s="6"/>
      <c r="B111" s="3" t="s">
        <v>252</v>
      </c>
      <c r="C111" s="1">
        <f t="shared" ca="1" si="21"/>
        <v>1</v>
      </c>
      <c r="D111" s="1" t="s">
        <v>263</v>
      </c>
      <c r="E111" s="1" t="s">
        <v>620</v>
      </c>
      <c r="F111" s="1" t="s">
        <v>620</v>
      </c>
      <c r="G111" s="1" t="s">
        <v>669</v>
      </c>
      <c r="H111" s="1" t="str">
        <f t="shared" ca="1" si="32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9"/>
        <v>createCase</v>
      </c>
      <c r="K111" s="1" t="str">
        <f t="shared" si="34"/>
        <v>castGolemCase</v>
      </c>
      <c r="L111" s="1"/>
      <c r="M111" s="1"/>
      <c r="N111" s="14" t="str">
        <f t="shared" ca="1" si="20"/>
        <v>MCCase * castGolemCase;</v>
      </c>
      <c r="O111" s="14" t="str">
        <f t="shared" ca="1" si="18"/>
        <v>castGolemCase= this-&gt;createCase("castGolemCase");</v>
      </c>
    </row>
    <row r="112" spans="1:15" x14ac:dyDescent="0.25">
      <c r="A112" s="6"/>
      <c r="B112" s="3" t="s">
        <v>253</v>
      </c>
      <c r="C112" s="1">
        <f t="shared" ca="1" si="21"/>
        <v>1</v>
      </c>
      <c r="D112" s="1" t="s">
        <v>263</v>
      </c>
      <c r="E112" s="1" t="s">
        <v>620</v>
      </c>
      <c r="F112" s="1" t="s">
        <v>620</v>
      </c>
      <c r="G112" s="1" t="s">
        <v>669</v>
      </c>
      <c r="H112" s="1" t="str">
        <f t="shared" ca="1" si="32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9"/>
        <v>createCase</v>
      </c>
      <c r="K112" s="1" t="str">
        <f t="shared" si="34"/>
        <v>castIcemanCase</v>
      </c>
      <c r="L112" s="1"/>
      <c r="M112" s="1"/>
      <c r="N112" s="14" t="str">
        <f t="shared" ca="1" si="20"/>
        <v>MCCase * castIcemanCase;</v>
      </c>
      <c r="O112" s="14" t="str">
        <f t="shared" ca="1" si="18"/>
        <v>castIcemanCase= this-&gt;createCase("castIcemanCase");</v>
      </c>
    </row>
    <row r="113" spans="1:15" x14ac:dyDescent="0.25">
      <c r="A113" s="6"/>
      <c r="B113" s="3" t="s">
        <v>254</v>
      </c>
      <c r="C113" s="1">
        <f t="shared" ca="1" si="21"/>
        <v>1</v>
      </c>
      <c r="D113" s="1" t="s">
        <v>263</v>
      </c>
      <c r="E113" s="1" t="s">
        <v>620</v>
      </c>
      <c r="F113" s="1" t="s">
        <v>620</v>
      </c>
      <c r="G113" s="1" t="s">
        <v>669</v>
      </c>
      <c r="H113" s="1" t="str">
        <f t="shared" ca="1" si="32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9"/>
        <v>createCase</v>
      </c>
      <c r="K113" s="1" t="str">
        <f t="shared" si="34"/>
        <v xml:space="preserve">fireCase   </v>
      </c>
      <c r="L113" s="1"/>
      <c r="M113" s="1"/>
      <c r="N113" s="14" t="str">
        <f t="shared" ca="1" si="20"/>
        <v>MCCase * fireCase   ;</v>
      </c>
      <c r="O113" s="14" t="str">
        <f t="shared" ca="1" si="18"/>
        <v>fireCase   = this-&gt;createCase("fireCase   ");</v>
      </c>
    </row>
    <row r="114" spans="1:15" x14ac:dyDescent="0.25">
      <c r="A114" s="6"/>
      <c r="B114" s="3" t="s">
        <v>255</v>
      </c>
      <c r="C114" s="1">
        <f t="shared" ca="1" si="21"/>
        <v>1</v>
      </c>
      <c r="D114" s="1" t="s">
        <v>263</v>
      </c>
      <c r="E114" s="1" t="s">
        <v>620</v>
      </c>
      <c r="F114" s="1" t="s">
        <v>620</v>
      </c>
      <c r="G114" s="1" t="s">
        <v>669</v>
      </c>
      <c r="H114" s="1" t="str">
        <f t="shared" ca="1" si="32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9"/>
        <v>createCase</v>
      </c>
      <c r="K114" s="1" t="str">
        <f t="shared" si="34"/>
        <v xml:space="preserve">getAllCase  </v>
      </c>
      <c r="L114" s="1"/>
      <c r="M114" s="1"/>
      <c r="N114" s="14" t="str">
        <f t="shared" ca="1" si="20"/>
        <v>MCCase * getAllCase  ;</v>
      </c>
      <c r="O114" s="14" t="str">
        <f t="shared" ca="1" si="18"/>
        <v>getAllCase  = this-&gt;createCase("getAllCase  ");</v>
      </c>
    </row>
    <row r="115" spans="1:15" x14ac:dyDescent="0.25">
      <c r="A115" s="6"/>
      <c r="B115" s="3" t="s">
        <v>259</v>
      </c>
      <c r="C115" s="1">
        <f t="shared" ca="1" si="21"/>
        <v>1</v>
      </c>
      <c r="D115" s="1" t="s">
        <v>263</v>
      </c>
      <c r="E115" s="1" t="s">
        <v>620</v>
      </c>
      <c r="F115" s="1" t="s">
        <v>620</v>
      </c>
      <c r="G115" s="1" t="s">
        <v>669</v>
      </c>
      <c r="H115" s="1" t="str">
        <f t="shared" ca="1" si="32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9"/>
        <v>createCase</v>
      </c>
      <c r="K115" s="1" t="str">
        <f t="shared" si="34"/>
        <v xml:space="preserve">iceCase   </v>
      </c>
      <c r="L115" s="1"/>
      <c r="M115" s="1"/>
      <c r="N115" s="14" t="str">
        <f t="shared" ca="1" si="20"/>
        <v>MCCase * iceCase   ;</v>
      </c>
      <c r="O115" s="14" t="str">
        <f t="shared" ca="1" si="18"/>
        <v>iceCase   = this-&gt;createCase("iceCase   ");</v>
      </c>
    </row>
    <row r="116" spans="1:15" x14ac:dyDescent="0.25">
      <c r="A116" s="6"/>
      <c r="B116" s="3" t="s">
        <v>249</v>
      </c>
      <c r="C116" s="1">
        <f t="shared" ca="1" si="21"/>
        <v>1</v>
      </c>
      <c r="D116" s="1" t="s">
        <v>263</v>
      </c>
      <c r="E116" s="1" t="s">
        <v>620</v>
      </c>
      <c r="F116" s="1" t="s">
        <v>620</v>
      </c>
      <c r="G116" s="1" t="s">
        <v>669</v>
      </c>
      <c r="H116" s="1" t="str">
        <f t="shared" ca="1" si="32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9"/>
        <v>createCase</v>
      </c>
      <c r="K116" s="1" t="str">
        <f t="shared" si="34"/>
        <v xml:space="preserve">interfaceUpCase </v>
      </c>
      <c r="L116" s="1"/>
      <c r="M116" s="1"/>
      <c r="N116" s="14" t="str">
        <f t="shared" ca="1" si="20"/>
        <v>MCCase * interfaceUpCase ;</v>
      </c>
      <c r="O116" s="14" t="str">
        <f t="shared" ca="1" si="18"/>
        <v>interfaceUpCase = this-&gt;createCase("interfaceUpCase ");</v>
      </c>
    </row>
    <row r="117" spans="1:15" x14ac:dyDescent="0.25">
      <c r="A117" s="6"/>
      <c r="B117" s="3" t="s">
        <v>258</v>
      </c>
      <c r="C117" s="1">
        <f t="shared" ca="1" si="21"/>
        <v>1</v>
      </c>
      <c r="D117" s="1" t="s">
        <v>263</v>
      </c>
      <c r="E117" s="1" t="s">
        <v>620</v>
      </c>
      <c r="F117" s="1" t="s">
        <v>620</v>
      </c>
      <c r="G117" s="1" t="s">
        <v>669</v>
      </c>
      <c r="H117" s="1" t="str">
        <f t="shared" ca="1" si="32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9"/>
        <v>createCase</v>
      </c>
      <c r="K117" s="1" t="str">
        <f t="shared" si="34"/>
        <v xml:space="preserve">levinCase   </v>
      </c>
      <c r="L117" s="1"/>
      <c r="M117" s="1"/>
      <c r="N117" s="14" t="str">
        <f t="shared" ca="1" si="20"/>
        <v>MCCase * levinCase   ;</v>
      </c>
      <c r="O117" s="14" t="str">
        <f t="shared" ca="1" si="18"/>
        <v>levinCase   = this-&gt;createCase("levinCase   ");</v>
      </c>
    </row>
    <row r="118" spans="1:15" x14ac:dyDescent="0.25">
      <c r="A118" s="6"/>
      <c r="B118" s="3" t="s">
        <v>257</v>
      </c>
      <c r="C118" s="1">
        <f t="shared" ca="1" si="21"/>
        <v>1</v>
      </c>
      <c r="D118" s="1" t="s">
        <v>263</v>
      </c>
      <c r="E118" s="1" t="s">
        <v>620</v>
      </c>
      <c r="F118" s="1" t="s">
        <v>620</v>
      </c>
      <c r="G118" s="1" t="s">
        <v>669</v>
      </c>
      <c r="H118" s="1" t="str">
        <f t="shared" ca="1" si="32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9"/>
        <v>createCase</v>
      </c>
      <c r="K118" s="1" t="str">
        <f t="shared" si="34"/>
        <v xml:space="preserve">sellCase  </v>
      </c>
      <c r="L118" s="1"/>
      <c r="M118" s="1"/>
      <c r="N118" s="14" t="str">
        <f t="shared" ca="1" si="20"/>
        <v>MCCase * sellCase  ;</v>
      </c>
      <c r="O118" s="14" t="str">
        <f t="shared" ca="1" si="18"/>
        <v>sellCase  = this-&gt;createCase("sellCase  ");</v>
      </c>
    </row>
    <row r="119" spans="1:15" x14ac:dyDescent="0.25">
      <c r="A119" s="6"/>
      <c r="B119" s="3" t="s">
        <v>256</v>
      </c>
      <c r="C119" s="1">
        <f t="shared" ca="1" si="21"/>
        <v>1</v>
      </c>
      <c r="D119" s="1" t="s">
        <v>263</v>
      </c>
      <c r="E119" s="1" t="s">
        <v>620</v>
      </c>
      <c r="F119" s="1" t="s">
        <v>620</v>
      </c>
      <c r="G119" s="1" t="s">
        <v>669</v>
      </c>
      <c r="H119" s="1" t="str">
        <f t="shared" ca="1" si="32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9"/>
        <v>createCase</v>
      </c>
      <c r="K119" s="1" t="str">
        <f t="shared" si="34"/>
        <v xml:space="preserve">stoneCase     </v>
      </c>
      <c r="L119" s="1"/>
      <c r="M119" s="1"/>
      <c r="N119" s="14" t="str">
        <f t="shared" ca="1" si="20"/>
        <v>MCCase * stoneCase     ;</v>
      </c>
      <c r="O119" s="14" t="str">
        <f t="shared" ca="1" si="18"/>
        <v>stoneCase     = this-&gt;createCase("stoneCase     ");</v>
      </c>
    </row>
    <row r="120" spans="1:15" x14ac:dyDescent="0.25">
      <c r="A120" s="6"/>
      <c r="B120" s="1" t="s">
        <v>626</v>
      </c>
      <c r="C120" s="1">
        <f ca="1">indent(B120)</f>
        <v>0</v>
      </c>
      <c r="D120" s="1" t="s">
        <v>263</v>
      </c>
      <c r="E120" s="1" t="s">
        <v>620</v>
      </c>
      <c r="F120" s="1" t="s">
        <v>620</v>
      </c>
      <c r="G120" s="21" t="s">
        <v>587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9"/>
        <v>createMovieClip</v>
      </c>
      <c r="K120" s="1" t="str">
        <f>B120</f>
        <v>Hint_mc</v>
      </c>
      <c r="L120" s="1"/>
      <c r="M120" s="1"/>
      <c r="N120" s="14" t="str">
        <f t="shared" ca="1" si="20"/>
        <v/>
      </c>
      <c r="O120" s="14" t="str">
        <f t="shared" ca="1" si="18"/>
        <v>Hint_mc::Hint_mc:MovieClip("worldinterface/","Hint_mc","Hint_mc"{)</v>
      </c>
    </row>
    <row r="121" spans="1:15" x14ac:dyDescent="0.25">
      <c r="A121" s="6"/>
      <c r="B121" s="3" t="s">
        <v>104</v>
      </c>
      <c r="C121" s="1">
        <f ca="1">indent(B121)</f>
        <v>1</v>
      </c>
      <c r="D121" s="1" t="s">
        <v>263</v>
      </c>
      <c r="E121" s="1" t="s">
        <v>620</v>
      </c>
      <c r="F121" s="1" t="s">
        <v>620</v>
      </c>
      <c r="G121" s="1" t="s">
        <v>671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9"/>
        <v>createText</v>
      </c>
      <c r="K121" s="1" t="str">
        <f>B121</f>
        <v>nameTXT</v>
      </c>
      <c r="L121" s="1"/>
      <c r="M121" s="1"/>
      <c r="N121" s="14" t="str">
        <f t="shared" ca="1" si="20"/>
        <v>MCText * nameTXT;</v>
      </c>
      <c r="O121" s="14" t="str">
        <f t="shared" ca="1" si="18"/>
        <v>nameTXT= this-&gt;createText("nameTXT");</v>
      </c>
    </row>
    <row r="122" spans="1:15" x14ac:dyDescent="0.25">
      <c r="A122" s="6"/>
      <c r="B122" s="3" t="s">
        <v>154</v>
      </c>
      <c r="C122" s="1">
        <f ca="1">indent(B122)</f>
        <v>1</v>
      </c>
      <c r="D122" s="1" t="s">
        <v>263</v>
      </c>
      <c r="E122" s="1" t="s">
        <v>620</v>
      </c>
      <c r="F122" s="1" t="s">
        <v>620</v>
      </c>
      <c r="G122" s="1" t="s">
        <v>671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9"/>
        <v>createText</v>
      </c>
      <c r="K122" s="1" t="str">
        <f>B122</f>
        <v>noteTXT</v>
      </c>
      <c r="L122" s="1"/>
      <c r="M122" s="1"/>
      <c r="N122" s="14" t="str">
        <f t="shared" ca="1" si="20"/>
        <v>MCText * noteTXT;</v>
      </c>
      <c r="O122" s="14" t="str">
        <f t="shared" ca="1" si="18"/>
        <v>noteTXT= this-&gt;createText("noteTXT");</v>
      </c>
    </row>
    <row r="123" spans="1:15" x14ac:dyDescent="0.25">
      <c r="A123" s="6"/>
      <c r="B123" s="3" t="s">
        <v>280</v>
      </c>
      <c r="C123" s="1">
        <f ca="1">indent(B123)</f>
        <v>1</v>
      </c>
      <c r="D123" s="1" t="s">
        <v>263</v>
      </c>
      <c r="E123" s="1" t="s">
        <v>620</v>
      </c>
      <c r="F123" s="1" t="s">
        <v>620</v>
      </c>
      <c r="G123" s="1" t="s">
        <v>671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9"/>
        <v>createText</v>
      </c>
      <c r="K123" s="1" t="str">
        <f>B123</f>
        <v>timeTXT</v>
      </c>
      <c r="L123" s="1"/>
      <c r="M123" s="1"/>
      <c r="N123" s="14" t="str">
        <f t="shared" ca="1" si="20"/>
        <v>MCText * timeTXT;</v>
      </c>
      <c r="O123" s="14" t="str">
        <f t="shared" ca="1" si="18"/>
        <v>timeTXT= this-&gt;createText("timeTXT");</v>
      </c>
    </row>
    <row r="124" spans="1:15" s="22" customFormat="1" x14ac:dyDescent="0.25">
      <c r="A124" s="26" t="s">
        <v>392</v>
      </c>
      <c r="B124" s="23" t="s">
        <v>391</v>
      </c>
      <c r="C124" s="1">
        <f t="shared" ca="1" si="21"/>
        <v>0</v>
      </c>
      <c r="D124" s="21" t="s">
        <v>263</v>
      </c>
      <c r="E124" s="21" t="s">
        <v>620</v>
      </c>
      <c r="F124" s="21" t="s">
        <v>620</v>
      </c>
      <c r="G124" s="21" t="s">
        <v>587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9"/>
        <v>createMovieClip</v>
      </c>
      <c r="K124" s="21" t="str">
        <f t="shared" ref="K124:K155" si="35">B124</f>
        <v>WorldInterface_mc</v>
      </c>
      <c r="L124" s="21"/>
      <c r="M124" s="21"/>
      <c r="N124" s="14" t="str">
        <f t="shared" ca="1" si="20"/>
        <v/>
      </c>
      <c r="O124" s="14" t="str">
        <f t="shared" ca="1" si="18"/>
        <v>WorldInterface_mc::WorldInterface_mc:MovieClip("worldinterface/","WorldInterface_mc","WorldInterface_mc"{)</v>
      </c>
    </row>
    <row r="125" spans="1:15" x14ac:dyDescent="0.25">
      <c r="A125" s="6"/>
      <c r="B125" s="3" t="s">
        <v>584</v>
      </c>
      <c r="C125" s="1">
        <f t="shared" ca="1" si="21"/>
        <v>1</v>
      </c>
      <c r="D125" s="1" t="s">
        <v>263</v>
      </c>
      <c r="E125" s="21" t="s">
        <v>620</v>
      </c>
      <c r="F125" s="21" t="s">
        <v>620</v>
      </c>
      <c r="G125" s="1" t="s">
        <v>586</v>
      </c>
      <c r="H125" s="1" t="str">
        <f t="shared" ref="H125:H156" ca="1" si="36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9"/>
        <v>createMovieClipSub</v>
      </c>
      <c r="K125" s="1" t="str">
        <f t="shared" si="35"/>
        <v>backComponents</v>
      </c>
      <c r="L125" s="1"/>
      <c r="M125" s="1"/>
      <c r="N125" s="14" t="str">
        <f t="shared" ca="1" si="20"/>
        <v>MovieClipSub * backComponents;</v>
      </c>
      <c r="O125" s="14" t="str">
        <f t="shared" ca="1" si="18"/>
        <v>backComponents= this-&gt;createMovieClipSub("backComponents");</v>
      </c>
    </row>
    <row r="126" spans="1:15" x14ac:dyDescent="0.25">
      <c r="A126" s="6"/>
      <c r="B126" s="3" t="s">
        <v>588</v>
      </c>
      <c r="C126" s="1">
        <f t="shared" ca="1" si="21"/>
        <v>1</v>
      </c>
      <c r="D126" s="1" t="s">
        <v>263</v>
      </c>
      <c r="E126" s="21" t="s">
        <v>620</v>
      </c>
      <c r="F126" s="21" t="s">
        <v>620</v>
      </c>
      <c r="G126" s="1" t="s">
        <v>586</v>
      </c>
      <c r="H126" s="1" t="str">
        <f t="shared" ca="1" si="36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9"/>
        <v>createMovieClipSub</v>
      </c>
      <c r="K126" s="1" t="str">
        <f t="shared" si="35"/>
        <v>barInfo</v>
      </c>
      <c r="L126" s="1"/>
      <c r="M126" s="1"/>
      <c r="N126" s="14" t="str">
        <f t="shared" ca="1" si="20"/>
        <v>MovieClipSub * barInfo;</v>
      </c>
      <c r="O126" s="14" t="str">
        <f t="shared" ca="1" si="18"/>
        <v>barInfo= this-&gt;createMovieClipSub("barInfo");</v>
      </c>
    </row>
    <row r="127" spans="1:15" x14ac:dyDescent="0.25">
      <c r="A127" s="6"/>
      <c r="B127" s="4" t="s">
        <v>393</v>
      </c>
      <c r="C127" s="1">
        <f t="shared" ca="1" si="21"/>
        <v>2</v>
      </c>
      <c r="D127" s="1" t="s">
        <v>263</v>
      </c>
      <c r="E127" s="21" t="s">
        <v>620</v>
      </c>
      <c r="F127" s="21" t="s">
        <v>620</v>
      </c>
      <c r="G127" s="1" t="s">
        <v>671</v>
      </c>
      <c r="H127" s="1" t="str">
        <f t="shared" ca="1" si="36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9"/>
        <v>createText</v>
      </c>
      <c r="K127" s="1" t="str">
        <f t="shared" si="35"/>
        <v>fireTXT</v>
      </c>
      <c r="L127" s="1"/>
      <c r="M127" s="1"/>
      <c r="N127" s="14" t="str">
        <f t="shared" ca="1" si="20"/>
        <v>MCText * barInfoFireTXT;</v>
      </c>
      <c r="O127" s="14" t="str">
        <f t="shared" ca="1" si="18"/>
        <v>barInfoFireTXT= barInfo-&gt;createText("fireTXT");</v>
      </c>
    </row>
    <row r="128" spans="1:15" x14ac:dyDescent="0.25">
      <c r="A128" s="6"/>
      <c r="B128" s="4" t="s">
        <v>394</v>
      </c>
      <c r="C128" s="1">
        <f t="shared" ca="1" si="21"/>
        <v>2</v>
      </c>
      <c r="D128" s="1" t="s">
        <v>263</v>
      </c>
      <c r="E128" s="21" t="s">
        <v>620</v>
      </c>
      <c r="F128" s="21" t="s">
        <v>620</v>
      </c>
      <c r="G128" s="1" t="s">
        <v>671</v>
      </c>
      <c r="H128" s="1" t="str">
        <f t="shared" ca="1" si="36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9"/>
        <v>createText</v>
      </c>
      <c r="K128" s="1" t="str">
        <f t="shared" si="35"/>
        <v>healthTXT</v>
      </c>
      <c r="L128" s="1"/>
      <c r="M128" s="1"/>
      <c r="N128" s="14" t="str">
        <f t="shared" ca="1" si="20"/>
        <v>MCText * barInfoHealthTXT;</v>
      </c>
      <c r="O128" s="14" t="str">
        <f t="shared" ca="1" si="18"/>
        <v>barInfoHealthTXT= barInfo-&gt;createText("healthTXT");</v>
      </c>
    </row>
    <row r="129" spans="1:15" x14ac:dyDescent="0.25">
      <c r="A129" s="6"/>
      <c r="B129" s="4" t="s">
        <v>395</v>
      </c>
      <c r="C129" s="1">
        <f t="shared" ca="1" si="21"/>
        <v>2</v>
      </c>
      <c r="D129" s="1" t="s">
        <v>263</v>
      </c>
      <c r="E129" s="21" t="s">
        <v>620</v>
      </c>
      <c r="F129" s="21" t="s">
        <v>620</v>
      </c>
      <c r="G129" s="1" t="s">
        <v>671</v>
      </c>
      <c r="H129" s="1" t="str">
        <f t="shared" ca="1" si="36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9"/>
        <v>createText</v>
      </c>
      <c r="K129" s="1" t="str">
        <f t="shared" si="35"/>
        <v>iceTXT</v>
      </c>
      <c r="L129" s="1"/>
      <c r="M129" s="1"/>
      <c r="N129" s="14" t="str">
        <f t="shared" ca="1" si="20"/>
        <v>MCText * barInfoIceTXT;</v>
      </c>
      <c r="O129" s="14" t="str">
        <f t="shared" ca="1" si="18"/>
        <v>barInfoIceTXT= barInfo-&gt;createText("iceTXT");</v>
      </c>
    </row>
    <row r="130" spans="1:15" x14ac:dyDescent="0.25">
      <c r="A130" s="6"/>
      <c r="B130" s="4" t="s">
        <v>396</v>
      </c>
      <c r="C130" s="1">
        <f t="shared" ca="1" si="21"/>
        <v>2</v>
      </c>
      <c r="D130" s="1" t="s">
        <v>263</v>
      </c>
      <c r="E130" s="21" t="s">
        <v>620</v>
      </c>
      <c r="F130" s="21" t="s">
        <v>620</v>
      </c>
      <c r="G130" s="1" t="s">
        <v>671</v>
      </c>
      <c r="H130" s="1" t="str">
        <f t="shared" ca="1" si="36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9"/>
        <v>createText</v>
      </c>
      <c r="K130" s="1" t="str">
        <f t="shared" si="35"/>
        <v>levinTXT</v>
      </c>
      <c r="L130" s="1"/>
      <c r="M130" s="1"/>
      <c r="N130" s="14" t="str">
        <f t="shared" ca="1" si="20"/>
        <v>MCText * barInfoLevinTXT;</v>
      </c>
      <c r="O130" s="14" t="str">
        <f t="shared" ref="O130:O193" ca="1" si="37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barInfoLevinTXT= barInfo-&gt;createText("levinTXT");</v>
      </c>
    </row>
    <row r="131" spans="1:15" s="10" customFormat="1" x14ac:dyDescent="0.25">
      <c r="A131" s="27"/>
      <c r="B131" s="16" t="s">
        <v>397</v>
      </c>
      <c r="C131" s="1">
        <f t="shared" ca="1" si="21"/>
        <v>2</v>
      </c>
      <c r="D131" s="1" t="s">
        <v>263</v>
      </c>
      <c r="E131" s="21" t="s">
        <v>620</v>
      </c>
      <c r="F131" s="21" t="s">
        <v>620</v>
      </c>
      <c r="G131" s="8" t="s">
        <v>669</v>
      </c>
      <c r="H131" s="1" t="str">
        <f t="shared" ca="1" si="36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9"/>
        <v>createCase</v>
      </c>
      <c r="K131" s="1" t="str">
        <f t="shared" si="35"/>
        <v>myTarget</v>
      </c>
      <c r="L131" s="8"/>
      <c r="M131" s="8"/>
      <c r="N131" s="14" t="str">
        <f t="shared" ca="1" si="20"/>
        <v>MCCase * barInfoMyTarget;</v>
      </c>
      <c r="O131" s="14" t="str">
        <f t="shared" ca="1" si="37"/>
        <v>barInfoMyTarget= barInfo-&gt;createCase("myTarget");</v>
      </c>
    </row>
    <row r="132" spans="1:15" x14ac:dyDescent="0.25">
      <c r="A132" s="6"/>
      <c r="B132" s="4" t="s">
        <v>154</v>
      </c>
      <c r="C132" s="1">
        <f t="shared" ca="1" si="21"/>
        <v>2</v>
      </c>
      <c r="D132" s="1" t="s">
        <v>263</v>
      </c>
      <c r="E132" s="21" t="s">
        <v>620</v>
      </c>
      <c r="F132" s="21" t="s">
        <v>620</v>
      </c>
      <c r="G132" s="1" t="s">
        <v>671</v>
      </c>
      <c r="H132" s="1" t="str">
        <f t="shared" ca="1" si="36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9"/>
        <v>createText</v>
      </c>
      <c r="K132" s="1" t="str">
        <f t="shared" si="35"/>
        <v>noteTXT</v>
      </c>
      <c r="L132" s="1"/>
      <c r="M132" s="1"/>
      <c r="N132" s="14" t="str">
        <f t="shared" ca="1" si="20"/>
        <v>MCText * barInfoNoteTXT;</v>
      </c>
      <c r="O132" s="14" t="str">
        <f t="shared" ca="1" si="37"/>
        <v>barInfoNoteTXT= barInfo-&gt;createText("noteTXT");</v>
      </c>
    </row>
    <row r="133" spans="1:15" x14ac:dyDescent="0.25">
      <c r="A133" s="6"/>
      <c r="B133" s="4" t="s">
        <v>398</v>
      </c>
      <c r="C133" s="1">
        <f t="shared" ca="1" si="21"/>
        <v>2</v>
      </c>
      <c r="D133" s="1" t="s">
        <v>263</v>
      </c>
      <c r="E133" s="21" t="s">
        <v>620</v>
      </c>
      <c r="F133" s="21" t="s">
        <v>620</v>
      </c>
      <c r="G133" s="1" t="s">
        <v>671</v>
      </c>
      <c r="H133" s="1" t="str">
        <f t="shared" ca="1" si="36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38">CONCATENATE("create",IF(LEFT(G133,2)="MC",MID(G133,3,LEN(G133)),G133))</f>
        <v>createText</v>
      </c>
      <c r="K133" s="1" t="str">
        <f t="shared" si="35"/>
        <v>penaltyTXT</v>
      </c>
      <c r="L133" s="1"/>
      <c r="M133" s="1"/>
      <c r="N133" s="14" t="str">
        <f t="shared" ca="1" si="20"/>
        <v>MCText * barInfoPenaltyTXT;</v>
      </c>
      <c r="O133" s="14" t="str">
        <f t="shared" ca="1" si="37"/>
        <v>barInfoPenaltyTXT= barInfo-&gt;createText("penaltyTXT");</v>
      </c>
    </row>
    <row r="134" spans="1:15" x14ac:dyDescent="0.25">
      <c r="A134" s="6"/>
      <c r="B134" s="4" t="s">
        <v>399</v>
      </c>
      <c r="C134" s="1">
        <f t="shared" ca="1" si="21"/>
        <v>2</v>
      </c>
      <c r="D134" s="1" t="s">
        <v>263</v>
      </c>
      <c r="E134" s="21" t="s">
        <v>620</v>
      </c>
      <c r="F134" s="21" t="s">
        <v>620</v>
      </c>
      <c r="G134" s="1" t="s">
        <v>671</v>
      </c>
      <c r="H134" s="1" t="str">
        <f t="shared" ca="1" si="36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38"/>
        <v>createText</v>
      </c>
      <c r="K134" s="1" t="str">
        <f t="shared" si="35"/>
        <v>speedTXT</v>
      </c>
      <c r="L134" s="1"/>
      <c r="M134" s="1"/>
      <c r="N134" s="14" t="str">
        <f t="shared" ca="1" si="20"/>
        <v>MCText * barInfoSpeedTXT;</v>
      </c>
      <c r="O134" s="14" t="str">
        <f t="shared" ca="1" si="37"/>
        <v>barInfoSpeedTXT= barInfo-&gt;createText("speedTXT");</v>
      </c>
    </row>
    <row r="135" spans="1:15" x14ac:dyDescent="0.25">
      <c r="A135" s="6"/>
      <c r="B135" s="4" t="s">
        <v>400</v>
      </c>
      <c r="C135" s="1">
        <f t="shared" ca="1" si="21"/>
        <v>2</v>
      </c>
      <c r="D135" s="1" t="s">
        <v>263</v>
      </c>
      <c r="E135" s="21" t="s">
        <v>620</v>
      </c>
      <c r="F135" s="21" t="s">
        <v>620</v>
      </c>
      <c r="G135" s="1" t="s">
        <v>671</v>
      </c>
      <c r="H135" s="1" t="str">
        <f t="shared" ca="1" si="36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38"/>
        <v>createText</v>
      </c>
      <c r="K135" s="1" t="str">
        <f t="shared" si="35"/>
        <v>stoneTXT</v>
      </c>
      <c r="L135" s="1"/>
      <c r="M135" s="1"/>
      <c r="N135" s="14" t="str">
        <f t="shared" ca="1" si="20"/>
        <v>MCText * barInfoStoneTXT;</v>
      </c>
      <c r="O135" s="14" t="str">
        <f t="shared" ca="1" si="37"/>
        <v>barInfoStoneTXT= barInfo-&gt;createText("stoneTXT");</v>
      </c>
    </row>
    <row r="136" spans="1:15" x14ac:dyDescent="0.25">
      <c r="A136" s="6"/>
      <c r="B136" s="3" t="s">
        <v>590</v>
      </c>
      <c r="C136" s="1">
        <f t="shared" ca="1" si="21"/>
        <v>1</v>
      </c>
      <c r="D136" s="1" t="s">
        <v>263</v>
      </c>
      <c r="E136" s="21" t="s">
        <v>620</v>
      </c>
      <c r="F136" s="21" t="s">
        <v>620</v>
      </c>
      <c r="G136" s="1" t="s">
        <v>586</v>
      </c>
      <c r="H136" s="1" t="str">
        <f t="shared" ca="1" si="36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38"/>
        <v>createMovieClipSub</v>
      </c>
      <c r="K136" s="1" t="str">
        <f t="shared" si="35"/>
        <v>book</v>
      </c>
      <c r="L136" s="1"/>
      <c r="M136" s="1"/>
      <c r="N136" s="14" t="str">
        <f t="shared" ca="1" si="20"/>
        <v>MovieClipSub * book;</v>
      </c>
      <c r="O136" s="14" t="str">
        <f t="shared" ca="1" si="37"/>
        <v>book= this-&gt;createMovieClipSub("book");</v>
      </c>
    </row>
    <row r="137" spans="1:15" x14ac:dyDescent="0.25">
      <c r="A137" s="6"/>
      <c r="B137" s="4" t="s">
        <v>401</v>
      </c>
      <c r="C137" s="1">
        <f t="shared" ca="1" si="21"/>
        <v>2</v>
      </c>
      <c r="D137" s="1" t="s">
        <v>263</v>
      </c>
      <c r="E137" s="21" t="s">
        <v>620</v>
      </c>
      <c r="F137" s="21" t="s">
        <v>620</v>
      </c>
      <c r="G137" s="1" t="s">
        <v>669</v>
      </c>
      <c r="H137" s="1" t="str">
        <f t="shared" ca="1" si="36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38"/>
        <v>createCase</v>
      </c>
      <c r="K137" s="1" t="str">
        <f t="shared" si="35"/>
        <v>bookCase</v>
      </c>
      <c r="L137" s="1"/>
      <c r="M137" s="1"/>
      <c r="N137" s="14" t="str">
        <f t="shared" ca="1" si="20"/>
        <v>MCCase * bookBookCase;</v>
      </c>
      <c r="O137" s="14" t="str">
        <f t="shared" ca="1" si="37"/>
        <v>bookBookCase= book-&gt;createCase("bookCase");</v>
      </c>
    </row>
    <row r="138" spans="1:15" x14ac:dyDescent="0.25">
      <c r="A138" s="6"/>
      <c r="B138" s="3" t="s">
        <v>591</v>
      </c>
      <c r="C138" s="1">
        <f t="shared" ca="1" si="21"/>
        <v>1</v>
      </c>
      <c r="D138" s="1" t="s">
        <v>263</v>
      </c>
      <c r="E138" s="21" t="s">
        <v>620</v>
      </c>
      <c r="F138" s="21" t="s">
        <v>620</v>
      </c>
      <c r="G138" s="1" t="s">
        <v>586</v>
      </c>
      <c r="H138" s="1" t="str">
        <f t="shared" ca="1" si="36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38"/>
        <v>createMovieClipSub</v>
      </c>
      <c r="K138" s="1" t="str">
        <f t="shared" si="35"/>
        <v>butCastAir</v>
      </c>
      <c r="L138" s="1"/>
      <c r="M138" s="1"/>
      <c r="N138" s="14" t="str">
        <f t="shared" ca="1" si="20"/>
        <v>MovieClipSub * butCastAir;</v>
      </c>
      <c r="O138" s="14" t="str">
        <f t="shared" ca="1" si="37"/>
        <v>butCastAir= this-&gt;createMovieClipSub("butCastAir");</v>
      </c>
    </row>
    <row r="139" spans="1:15" x14ac:dyDescent="0.25">
      <c r="A139" s="6"/>
      <c r="B139" s="4" t="s">
        <v>758</v>
      </c>
      <c r="C139" s="1">
        <f t="shared" ca="1" si="21"/>
        <v>2</v>
      </c>
      <c r="D139" s="1" t="s">
        <v>263</v>
      </c>
      <c r="E139" s="21" t="s">
        <v>620</v>
      </c>
      <c r="F139" s="21" t="s">
        <v>620</v>
      </c>
      <c r="G139" s="1" t="s">
        <v>669</v>
      </c>
      <c r="H139" s="1" t="str">
        <f t="shared" ca="1" si="36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38"/>
        <v>createCase</v>
      </c>
      <c r="K139" s="1" t="str">
        <f t="shared" si="35"/>
        <v>castAirCase</v>
      </c>
      <c r="L139" s="1"/>
      <c r="M139" s="1"/>
      <c r="N139" s="14" t="str">
        <f t="shared" ca="1" si="20"/>
        <v>MCCase * butCastAirCastAirCase;</v>
      </c>
      <c r="O139" s="14" t="str">
        <f t="shared" ca="1" si="37"/>
        <v>butCastAirCastAirCase= butCastAir-&gt;createCase("castAirCase");</v>
      </c>
    </row>
    <row r="140" spans="1:15" x14ac:dyDescent="0.25">
      <c r="A140" s="6"/>
      <c r="B140" s="4" t="s">
        <v>80</v>
      </c>
      <c r="C140" s="1">
        <f t="shared" ca="1" si="21"/>
        <v>2</v>
      </c>
      <c r="D140" s="1" t="s">
        <v>263</v>
      </c>
      <c r="E140" s="21" t="s">
        <v>620</v>
      </c>
      <c r="F140" s="21" t="s">
        <v>620</v>
      </c>
      <c r="G140" s="1" t="s">
        <v>586</v>
      </c>
      <c r="H140" s="1" t="str">
        <f t="shared" ca="1" si="36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38"/>
        <v>createMovieClipSub</v>
      </c>
      <c r="K140" s="1" t="str">
        <f t="shared" si="35"/>
        <v>cont</v>
      </c>
      <c r="L140" s="1"/>
      <c r="M140" s="1"/>
      <c r="N140" s="14" t="str">
        <f t="shared" ref="N140:N203" ca="1" si="39">IF(C140&gt;0,G140 &amp; " * "&amp;H140 &amp;";","")</f>
        <v>MovieClipSub * butCastAirCont;</v>
      </c>
      <c r="O140" s="14" t="str">
        <f t="shared" ca="1" si="37"/>
        <v>butCastAirCont= butCastAir-&gt;createMovieClipSub("cont");</v>
      </c>
    </row>
    <row r="141" spans="1:15" x14ac:dyDescent="0.25">
      <c r="A141" s="6"/>
      <c r="B141" s="5" t="s">
        <v>430</v>
      </c>
      <c r="C141" s="1">
        <f t="shared" ca="1" si="21"/>
        <v>3</v>
      </c>
      <c r="D141" s="1" t="s">
        <v>263</v>
      </c>
      <c r="E141" s="21" t="s">
        <v>620</v>
      </c>
      <c r="F141" s="21" t="s">
        <v>620</v>
      </c>
      <c r="G141" s="1" t="s">
        <v>675</v>
      </c>
      <c r="H141" s="1" t="str">
        <f t="shared" ca="1" si="36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38"/>
        <v>createMask</v>
      </c>
      <c r="K141" s="1" t="str">
        <f t="shared" si="35"/>
        <v>contMask</v>
      </c>
      <c r="L141" s="1"/>
      <c r="M141" s="1"/>
      <c r="N141" s="14" t="str">
        <f t="shared" ca="1" si="39"/>
        <v>MCMask * butCastAirContContMask;</v>
      </c>
      <c r="O141" s="14" t="str">
        <f t="shared" ca="1" si="37"/>
        <v>butCastAirContContMask= butCastAirCont-&gt;createMask("contMask");</v>
      </c>
    </row>
    <row r="142" spans="1:15" x14ac:dyDescent="0.25">
      <c r="A142" s="6"/>
      <c r="B142" s="3" t="s">
        <v>402</v>
      </c>
      <c r="C142" s="1">
        <f t="shared" ca="1" si="21"/>
        <v>1</v>
      </c>
      <c r="D142" s="1" t="s">
        <v>263</v>
      </c>
      <c r="E142" s="21" t="s">
        <v>620</v>
      </c>
      <c r="F142" s="21" t="s">
        <v>620</v>
      </c>
      <c r="G142" s="1" t="s">
        <v>586</v>
      </c>
      <c r="H142" s="1" t="str">
        <f t="shared" ca="1" si="36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38"/>
        <v>createMovieClipSub</v>
      </c>
      <c r="K142" s="1" t="str">
        <f t="shared" si="35"/>
        <v>butCastGolem</v>
      </c>
      <c r="L142" s="1"/>
      <c r="M142" s="1"/>
      <c r="N142" s="14" t="str">
        <f t="shared" ca="1" si="39"/>
        <v>MovieClipSub * butCastGolem;</v>
      </c>
      <c r="O142" s="14" t="str">
        <f t="shared" ca="1" si="37"/>
        <v>butCastGolem= this-&gt;createMovieClipSub("butCastGolem");</v>
      </c>
    </row>
    <row r="143" spans="1:15" x14ac:dyDescent="0.25">
      <c r="A143" s="6"/>
      <c r="B143" s="4" t="s">
        <v>759</v>
      </c>
      <c r="C143" s="1">
        <f t="shared" ca="1" si="21"/>
        <v>2</v>
      </c>
      <c r="D143" s="1" t="s">
        <v>263</v>
      </c>
      <c r="E143" s="21" t="s">
        <v>620</v>
      </c>
      <c r="F143" s="21" t="s">
        <v>620</v>
      </c>
      <c r="G143" s="1" t="s">
        <v>669</v>
      </c>
      <c r="H143" s="1" t="str">
        <f t="shared" ca="1" si="36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38"/>
        <v>createCase</v>
      </c>
      <c r="K143" s="1" t="str">
        <f t="shared" si="35"/>
        <v>castGolemCase</v>
      </c>
      <c r="L143" s="1"/>
      <c r="M143" s="1"/>
      <c r="N143" s="14" t="str">
        <f t="shared" ca="1" si="39"/>
        <v>MCCase * butCastGolemCastGolemCase;</v>
      </c>
      <c r="O143" s="14" t="str">
        <f t="shared" ca="1" si="37"/>
        <v>butCastGolemCastGolemCase= butCastGolem-&gt;createCase("castGolemCase");</v>
      </c>
    </row>
    <row r="144" spans="1:15" x14ac:dyDescent="0.25">
      <c r="A144" s="6"/>
      <c r="B144" s="4" t="s">
        <v>80</v>
      </c>
      <c r="C144" s="1">
        <f t="shared" ca="1" si="21"/>
        <v>2</v>
      </c>
      <c r="D144" s="1" t="s">
        <v>263</v>
      </c>
      <c r="E144" s="21" t="s">
        <v>620</v>
      </c>
      <c r="F144" s="21" t="s">
        <v>620</v>
      </c>
      <c r="G144" s="1" t="s">
        <v>586</v>
      </c>
      <c r="H144" s="1" t="str">
        <f t="shared" ca="1" si="36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38"/>
        <v>createMovieClipSub</v>
      </c>
      <c r="K144" s="1" t="str">
        <f t="shared" si="35"/>
        <v>cont</v>
      </c>
      <c r="L144" s="1"/>
      <c r="M144" s="1"/>
      <c r="N144" s="14" t="str">
        <f t="shared" ca="1" si="39"/>
        <v>MovieClipSub * butCastGolemCont;</v>
      </c>
      <c r="O144" s="14" t="str">
        <f t="shared" ca="1" si="37"/>
        <v>butCastGolemCont= butCastGolem-&gt;createMovieClipSub("cont");</v>
      </c>
    </row>
    <row r="145" spans="1:15" x14ac:dyDescent="0.25">
      <c r="A145" s="6"/>
      <c r="B145" s="5" t="s">
        <v>430</v>
      </c>
      <c r="C145" s="1">
        <f t="shared" ca="1" si="21"/>
        <v>3</v>
      </c>
      <c r="D145" s="1" t="s">
        <v>263</v>
      </c>
      <c r="E145" s="21" t="s">
        <v>620</v>
      </c>
      <c r="F145" s="21" t="s">
        <v>620</v>
      </c>
      <c r="G145" s="1" t="s">
        <v>586</v>
      </c>
      <c r="H145" s="1" t="str">
        <f t="shared" ca="1" si="36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38"/>
        <v>createMovieClipSub</v>
      </c>
      <c r="K145" s="1" t="str">
        <f t="shared" si="35"/>
        <v>contMask</v>
      </c>
      <c r="L145" s="1"/>
      <c r="M145" s="1"/>
      <c r="N145" s="14" t="str">
        <f t="shared" ca="1" si="39"/>
        <v>MovieClipSub * butCastGolemContContMask;</v>
      </c>
      <c r="O145" s="14" t="str">
        <f t="shared" ca="1" si="37"/>
        <v>butCastGolemContContMask= butCastGolemCont-&gt;createMovieClipSub("contMask");</v>
      </c>
    </row>
    <row r="146" spans="1:15" x14ac:dyDescent="0.25">
      <c r="A146" s="6"/>
      <c r="B146" s="3" t="s">
        <v>403</v>
      </c>
      <c r="C146" s="1">
        <f t="shared" ca="1" si="21"/>
        <v>1</v>
      </c>
      <c r="D146" s="1" t="s">
        <v>263</v>
      </c>
      <c r="E146" s="21" t="s">
        <v>620</v>
      </c>
      <c r="F146" s="21" t="s">
        <v>620</v>
      </c>
      <c r="G146" s="1" t="s">
        <v>586</v>
      </c>
      <c r="H146" s="1" t="str">
        <f t="shared" ca="1" si="36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38"/>
        <v>createMovieClipSub</v>
      </c>
      <c r="K146" s="1" t="str">
        <f t="shared" si="35"/>
        <v>butCastIceman</v>
      </c>
      <c r="L146" s="1"/>
      <c r="M146" s="1"/>
      <c r="N146" s="14" t="str">
        <f t="shared" ca="1" si="39"/>
        <v>MovieClipSub * butCastIceman;</v>
      </c>
      <c r="O146" s="14" t="str">
        <f t="shared" ca="1" si="37"/>
        <v>butCastIceman= this-&gt;createMovieClipSub("butCastIceman");</v>
      </c>
    </row>
    <row r="147" spans="1:15" x14ac:dyDescent="0.25">
      <c r="A147" s="6"/>
      <c r="B147" s="4" t="s">
        <v>404</v>
      </c>
      <c r="C147" s="1">
        <f t="shared" ca="1" si="21"/>
        <v>2</v>
      </c>
      <c r="D147" s="1" t="s">
        <v>263</v>
      </c>
      <c r="E147" s="21" t="s">
        <v>620</v>
      </c>
      <c r="F147" s="21" t="s">
        <v>620</v>
      </c>
      <c r="G147" s="1" t="s">
        <v>752</v>
      </c>
      <c r="H147" s="1" t="str">
        <f t="shared" ca="1" si="36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38"/>
        <v>createCase</v>
      </c>
      <c r="K147" s="1" t="str">
        <f t="shared" si="35"/>
        <v>castIcemanCase</v>
      </c>
      <c r="L147" s="1"/>
      <c r="M147" s="1"/>
      <c r="N147" s="14" t="str">
        <f t="shared" ca="1" si="39"/>
        <v>MCCase * butCastIcemanCastIcemanCase;</v>
      </c>
      <c r="O147" s="14" t="str">
        <f t="shared" ca="1" si="37"/>
        <v>butCastIcemanCastIcemanCase= butCastIceman-&gt;createCase("castIcemanCase");</v>
      </c>
    </row>
    <row r="148" spans="1:15" x14ac:dyDescent="0.25">
      <c r="A148" s="6"/>
      <c r="B148" s="4" t="s">
        <v>80</v>
      </c>
      <c r="C148" s="1">
        <f t="shared" ca="1" si="21"/>
        <v>2</v>
      </c>
      <c r="D148" s="1" t="s">
        <v>263</v>
      </c>
      <c r="E148" s="21" t="s">
        <v>620</v>
      </c>
      <c r="F148" s="21" t="s">
        <v>620</v>
      </c>
      <c r="G148" s="1" t="s">
        <v>586</v>
      </c>
      <c r="H148" s="1" t="str">
        <f t="shared" ca="1" si="36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38"/>
        <v>createMovieClipSub</v>
      </c>
      <c r="K148" s="1" t="str">
        <f t="shared" si="35"/>
        <v>cont</v>
      </c>
      <c r="L148" s="1"/>
      <c r="M148" s="1"/>
      <c r="N148" s="14" t="str">
        <f t="shared" ca="1" si="39"/>
        <v>MovieClipSub * butCastIcemanCont;</v>
      </c>
      <c r="O148" s="14" t="str">
        <f t="shared" ca="1" si="37"/>
        <v>butCastIcemanCont= butCastIceman-&gt;createMovieClipSub("cont");</v>
      </c>
    </row>
    <row r="149" spans="1:15" x14ac:dyDescent="0.25">
      <c r="A149" s="6"/>
      <c r="B149" s="5" t="s">
        <v>430</v>
      </c>
      <c r="C149" s="1">
        <f t="shared" ref="C149:C212" ca="1" si="40">indent(B149)</f>
        <v>3</v>
      </c>
      <c r="D149" s="1" t="s">
        <v>263</v>
      </c>
      <c r="E149" s="21" t="s">
        <v>620</v>
      </c>
      <c r="F149" s="21" t="s">
        <v>620</v>
      </c>
      <c r="G149" s="1" t="s">
        <v>586</v>
      </c>
      <c r="H149" s="1" t="str">
        <f t="shared" ca="1" si="36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38"/>
        <v>createMovieClipSub</v>
      </c>
      <c r="K149" s="1" t="str">
        <f t="shared" si="35"/>
        <v>contMask</v>
      </c>
      <c r="L149" s="1"/>
      <c r="M149" s="1"/>
      <c r="N149" s="14" t="str">
        <f t="shared" ca="1" si="39"/>
        <v>MovieClipSub * butCastIcemanContContMask;</v>
      </c>
      <c r="O149" s="14" t="str">
        <f t="shared" ca="1" si="37"/>
        <v>butCastIcemanContContMask= butCastIcemanCont-&gt;createMovieClipSub("contMask");</v>
      </c>
    </row>
    <row r="150" spans="1:15" x14ac:dyDescent="0.25">
      <c r="A150" s="6"/>
      <c r="B150" s="3" t="s">
        <v>406</v>
      </c>
      <c r="C150" s="1">
        <f t="shared" ca="1" si="40"/>
        <v>1</v>
      </c>
      <c r="D150" s="1" t="s">
        <v>263</v>
      </c>
      <c r="E150" s="21" t="s">
        <v>620</v>
      </c>
      <c r="F150" s="21" t="s">
        <v>620</v>
      </c>
      <c r="G150" s="1" t="s">
        <v>586</v>
      </c>
      <c r="H150" s="1" t="str">
        <f t="shared" ca="1" si="36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38"/>
        <v>createMovieClipSub</v>
      </c>
      <c r="K150" s="1" t="str">
        <f t="shared" si="35"/>
        <v>buyFire</v>
      </c>
      <c r="L150" s="1"/>
      <c r="M150" s="1"/>
      <c r="N150" s="14" t="str">
        <f t="shared" ca="1" si="39"/>
        <v>MovieClipSub * buyFire;</v>
      </c>
      <c r="O150" s="14" t="str">
        <f t="shared" ca="1" si="37"/>
        <v>buyFire= this-&gt;createMovieClipSub("buyFire");</v>
      </c>
    </row>
    <row r="151" spans="1:15" x14ac:dyDescent="0.25">
      <c r="A151" s="6"/>
      <c r="B151" s="4" t="s">
        <v>405</v>
      </c>
      <c r="C151" s="1">
        <f t="shared" ca="1" si="40"/>
        <v>2</v>
      </c>
      <c r="D151" s="1" t="s">
        <v>263</v>
      </c>
      <c r="E151" s="21" t="s">
        <v>620</v>
      </c>
      <c r="F151" s="21" t="s">
        <v>620</v>
      </c>
      <c r="G151" s="1" t="s">
        <v>671</v>
      </c>
      <c r="H151" s="1" t="str">
        <f t="shared" ca="1" si="36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38"/>
        <v>createText</v>
      </c>
      <c r="K151" s="1" t="str">
        <f t="shared" si="35"/>
        <v>buyTXT</v>
      </c>
      <c r="L151" s="1"/>
      <c r="M151" s="1"/>
      <c r="N151" s="14" t="str">
        <f t="shared" ca="1" si="39"/>
        <v>MCText * buyFireBuyTXT;</v>
      </c>
      <c r="O151" s="14" t="str">
        <f t="shared" ca="1" si="37"/>
        <v>buyFireBuyTXT= buyFire-&gt;createText("buyTXT");</v>
      </c>
    </row>
    <row r="152" spans="1:15" x14ac:dyDescent="0.25">
      <c r="A152" s="6"/>
      <c r="B152" s="4" t="s">
        <v>408</v>
      </c>
      <c r="C152" s="1">
        <f t="shared" ca="1" si="40"/>
        <v>2</v>
      </c>
      <c r="D152" s="1" t="s">
        <v>263</v>
      </c>
      <c r="E152" s="21" t="s">
        <v>620</v>
      </c>
      <c r="F152" s="21" t="s">
        <v>620</v>
      </c>
      <c r="G152" s="1" t="s">
        <v>586</v>
      </c>
      <c r="H152" s="1" t="str">
        <f t="shared" ca="1" si="36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38"/>
        <v>createMovieClipSub</v>
      </c>
      <c r="K152" s="1" t="str">
        <f t="shared" si="35"/>
        <v>coin</v>
      </c>
      <c r="L152" s="1"/>
      <c r="M152" s="1"/>
      <c r="N152" s="14" t="str">
        <f t="shared" ca="1" si="39"/>
        <v>MovieClipSub * buyFireCoin;</v>
      </c>
      <c r="O152" s="14" t="str">
        <f t="shared" ca="1" si="37"/>
        <v>buyFireCoin= buyFire-&gt;createMovieClipSub("coin");</v>
      </c>
    </row>
    <row r="153" spans="1:15" x14ac:dyDescent="0.25">
      <c r="A153" s="6"/>
      <c r="B153" s="4" t="s">
        <v>407</v>
      </c>
      <c r="C153" s="1">
        <f t="shared" ca="1" si="40"/>
        <v>2</v>
      </c>
      <c r="D153" s="1" t="s">
        <v>263</v>
      </c>
      <c r="E153" s="21" t="s">
        <v>620</v>
      </c>
      <c r="F153" s="21" t="s">
        <v>620</v>
      </c>
      <c r="G153" s="1" t="s">
        <v>586</v>
      </c>
      <c r="H153" s="1" t="str">
        <f t="shared" ca="1" si="36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38"/>
        <v>createMovieClipSub</v>
      </c>
      <c r="K153" s="1" t="str">
        <f t="shared" si="35"/>
        <v>lightUp</v>
      </c>
      <c r="L153" s="1"/>
      <c r="M153" s="1"/>
      <c r="N153" s="14" t="str">
        <f t="shared" ca="1" si="39"/>
        <v>MovieClipSub * buyFireLightUp;</v>
      </c>
      <c r="O153" s="14" t="str">
        <f t="shared" ca="1" si="37"/>
        <v>buyFireLightUp= buyFire-&gt;createMovieClipSub("lightUp");</v>
      </c>
    </row>
    <row r="154" spans="1:15" x14ac:dyDescent="0.25">
      <c r="A154" s="6"/>
      <c r="B154" s="3" t="s">
        <v>760</v>
      </c>
      <c r="C154" s="1">
        <f t="shared" ca="1" si="40"/>
        <v>1</v>
      </c>
      <c r="D154" s="1" t="s">
        <v>263</v>
      </c>
      <c r="E154" s="21" t="s">
        <v>620</v>
      </c>
      <c r="F154" s="21" t="s">
        <v>620</v>
      </c>
      <c r="G154" s="1" t="s">
        <v>586</v>
      </c>
      <c r="H154" s="1" t="str">
        <f t="shared" ca="1" si="36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38"/>
        <v>createMovieClipSub</v>
      </c>
      <c r="K154" s="1" t="str">
        <f t="shared" si="35"/>
        <v>buyGetAll</v>
      </c>
      <c r="L154" s="1"/>
      <c r="M154" s="1"/>
      <c r="N154" s="14" t="str">
        <f t="shared" ca="1" si="39"/>
        <v>MovieClipSub * buyGetAll;</v>
      </c>
      <c r="O154" s="14" t="str">
        <f t="shared" ca="1" si="37"/>
        <v>buyGetAll= this-&gt;createMovieClipSub("buyGetAll");</v>
      </c>
    </row>
    <row r="155" spans="1:15" x14ac:dyDescent="0.25">
      <c r="A155" s="6"/>
      <c r="B155" s="4" t="s">
        <v>405</v>
      </c>
      <c r="C155" s="1">
        <f t="shared" ca="1" si="40"/>
        <v>2</v>
      </c>
      <c r="D155" s="1" t="s">
        <v>263</v>
      </c>
      <c r="E155" s="21" t="s">
        <v>620</v>
      </c>
      <c r="F155" s="21" t="s">
        <v>620</v>
      </c>
      <c r="G155" s="1" t="s">
        <v>671</v>
      </c>
      <c r="H155" s="1" t="str">
        <f t="shared" ca="1" si="36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38"/>
        <v>createText</v>
      </c>
      <c r="K155" s="1" t="str">
        <f t="shared" si="35"/>
        <v>buyTXT</v>
      </c>
      <c r="L155" s="1"/>
      <c r="M155" s="1"/>
      <c r="N155" s="14" t="str">
        <f t="shared" ca="1" si="39"/>
        <v>MCText * buyGetAllBuyTXT;</v>
      </c>
      <c r="O155" s="14" t="str">
        <f t="shared" ca="1" si="37"/>
        <v>buyGetAllBuyTXT= buyGetAll-&gt;createText("buyTXT");</v>
      </c>
    </row>
    <row r="156" spans="1:15" x14ac:dyDescent="0.25">
      <c r="A156" s="6"/>
      <c r="B156" s="4" t="s">
        <v>408</v>
      </c>
      <c r="C156" s="1">
        <f t="shared" ca="1" si="40"/>
        <v>2</v>
      </c>
      <c r="D156" s="1" t="s">
        <v>263</v>
      </c>
      <c r="E156" s="21" t="s">
        <v>620</v>
      </c>
      <c r="F156" s="21" t="s">
        <v>620</v>
      </c>
      <c r="G156" s="1" t="s">
        <v>586</v>
      </c>
      <c r="H156" s="1" t="str">
        <f t="shared" ca="1" si="36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38"/>
        <v>createMovieClipSub</v>
      </c>
      <c r="K156" s="1" t="str">
        <f t="shared" ref="K156:K190" si="41">B156</f>
        <v>coin</v>
      </c>
      <c r="L156" s="1"/>
      <c r="M156" s="1"/>
      <c r="N156" s="14" t="str">
        <f t="shared" ca="1" si="39"/>
        <v>MovieClipSub * buyGetAllCoin;</v>
      </c>
      <c r="O156" s="14" t="str">
        <f t="shared" ca="1" si="37"/>
        <v>buyGetAllCoin= buyGetAll-&gt;createMovieClipSub("coin");</v>
      </c>
    </row>
    <row r="157" spans="1:15" x14ac:dyDescent="0.25">
      <c r="A157" s="6"/>
      <c r="B157" s="4" t="s">
        <v>407</v>
      </c>
      <c r="C157" s="1">
        <f t="shared" ca="1" si="40"/>
        <v>2</v>
      </c>
      <c r="D157" s="1" t="s">
        <v>263</v>
      </c>
      <c r="E157" s="21" t="s">
        <v>620</v>
      </c>
      <c r="F157" s="21" t="s">
        <v>620</v>
      </c>
      <c r="G157" s="1" t="s">
        <v>586</v>
      </c>
      <c r="H157" s="1" t="str">
        <f t="shared" ref="H157:H188" ca="1" si="42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38"/>
        <v>createMovieClipSub</v>
      </c>
      <c r="K157" s="1" t="str">
        <f t="shared" si="41"/>
        <v>lightUp</v>
      </c>
      <c r="L157" s="1"/>
      <c r="M157" s="1"/>
      <c r="N157" s="14" t="str">
        <f t="shared" ca="1" si="39"/>
        <v>MovieClipSub * buyGetAllLightUp;</v>
      </c>
      <c r="O157" s="14" t="str">
        <f t="shared" ca="1" si="37"/>
        <v>buyGetAllLightUp= buyGetAll-&gt;createMovieClipSub("lightUp");</v>
      </c>
    </row>
    <row r="158" spans="1:15" x14ac:dyDescent="0.25">
      <c r="A158" s="6"/>
      <c r="B158" s="3" t="s">
        <v>592</v>
      </c>
      <c r="C158" s="1">
        <f t="shared" ca="1" si="40"/>
        <v>1</v>
      </c>
      <c r="D158" s="1" t="s">
        <v>263</v>
      </c>
      <c r="E158" s="21" t="s">
        <v>620</v>
      </c>
      <c r="F158" s="21" t="s">
        <v>620</v>
      </c>
      <c r="G158" s="1" t="s">
        <v>586</v>
      </c>
      <c r="H158" s="1" t="str">
        <f t="shared" ca="1" si="42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38"/>
        <v>createMovieClipSub</v>
      </c>
      <c r="K158" s="1" t="str">
        <f t="shared" si="41"/>
        <v>buyIce</v>
      </c>
      <c r="L158" s="1"/>
      <c r="M158" s="1"/>
      <c r="N158" s="14" t="str">
        <f t="shared" ca="1" si="39"/>
        <v>MovieClipSub * buyIce;</v>
      </c>
      <c r="O158" s="14" t="str">
        <f t="shared" ca="1" si="37"/>
        <v>buyIce= this-&gt;createMovieClipSub("buyIce");</v>
      </c>
    </row>
    <row r="159" spans="1:15" x14ac:dyDescent="0.25">
      <c r="A159" s="6"/>
      <c r="B159" s="4" t="s">
        <v>405</v>
      </c>
      <c r="C159" s="1">
        <f t="shared" ca="1" si="40"/>
        <v>2</v>
      </c>
      <c r="D159" s="1" t="s">
        <v>263</v>
      </c>
      <c r="E159" s="21" t="s">
        <v>620</v>
      </c>
      <c r="F159" s="21" t="s">
        <v>620</v>
      </c>
      <c r="G159" s="1" t="s">
        <v>671</v>
      </c>
      <c r="H159" s="1" t="str">
        <f t="shared" ca="1" si="42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38"/>
        <v>createText</v>
      </c>
      <c r="K159" s="1" t="str">
        <f t="shared" si="41"/>
        <v>buyTXT</v>
      </c>
      <c r="L159" s="1"/>
      <c r="M159" s="1"/>
      <c r="N159" s="14" t="str">
        <f t="shared" ca="1" si="39"/>
        <v>MCText * buyIceBuyTXT;</v>
      </c>
      <c r="O159" s="14" t="str">
        <f t="shared" ca="1" si="37"/>
        <v>buyIceBuyTXT= buyIce-&gt;createText("buyTXT");</v>
      </c>
    </row>
    <row r="160" spans="1:15" x14ac:dyDescent="0.25">
      <c r="A160" s="6"/>
      <c r="B160" s="4" t="s">
        <v>408</v>
      </c>
      <c r="C160" s="1">
        <f t="shared" ca="1" si="40"/>
        <v>2</v>
      </c>
      <c r="D160" s="1" t="s">
        <v>263</v>
      </c>
      <c r="E160" s="21" t="s">
        <v>620</v>
      </c>
      <c r="F160" s="21" t="s">
        <v>620</v>
      </c>
      <c r="G160" s="1" t="s">
        <v>586</v>
      </c>
      <c r="H160" s="1" t="str">
        <f t="shared" ca="1" si="42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38"/>
        <v>createMovieClipSub</v>
      </c>
      <c r="K160" s="1" t="str">
        <f t="shared" si="41"/>
        <v>coin</v>
      </c>
      <c r="L160" s="1"/>
      <c r="M160" s="1"/>
      <c r="N160" s="14" t="str">
        <f t="shared" ca="1" si="39"/>
        <v>MovieClipSub * buyIceCoin;</v>
      </c>
      <c r="O160" s="14" t="str">
        <f t="shared" ca="1" si="37"/>
        <v>buyIceCoin= buyIce-&gt;createMovieClipSub("coin");</v>
      </c>
    </row>
    <row r="161" spans="1:15" x14ac:dyDescent="0.25">
      <c r="A161" s="6"/>
      <c r="B161" s="4" t="s">
        <v>407</v>
      </c>
      <c r="C161" s="1">
        <f t="shared" ca="1" si="40"/>
        <v>2</v>
      </c>
      <c r="D161" s="1" t="s">
        <v>263</v>
      </c>
      <c r="E161" s="21" t="s">
        <v>620</v>
      </c>
      <c r="F161" s="21" t="s">
        <v>620</v>
      </c>
      <c r="G161" s="1" t="s">
        <v>586</v>
      </c>
      <c r="H161" s="1" t="str">
        <f t="shared" ca="1" si="42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38"/>
        <v>createMovieClipSub</v>
      </c>
      <c r="K161" s="1" t="str">
        <f t="shared" si="41"/>
        <v>lightUp</v>
      </c>
      <c r="L161" s="1"/>
      <c r="M161" s="1"/>
      <c r="N161" s="14" t="str">
        <f t="shared" ca="1" si="39"/>
        <v>MovieClipSub * buyIceLightUp;</v>
      </c>
      <c r="O161" s="14" t="str">
        <f t="shared" ca="1" si="37"/>
        <v>buyIceLightUp= buyIce-&gt;createMovieClipSub("lightUp");</v>
      </c>
    </row>
    <row r="162" spans="1:15" x14ac:dyDescent="0.25">
      <c r="A162" s="6"/>
      <c r="B162" s="3" t="s">
        <v>593</v>
      </c>
      <c r="C162" s="1">
        <f t="shared" ca="1" si="40"/>
        <v>1</v>
      </c>
      <c r="D162" s="1" t="s">
        <v>263</v>
      </c>
      <c r="E162" s="21" t="s">
        <v>620</v>
      </c>
      <c r="F162" s="21" t="s">
        <v>620</v>
      </c>
      <c r="G162" s="1" t="s">
        <v>586</v>
      </c>
      <c r="H162" s="1" t="str">
        <f t="shared" ca="1" si="42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38"/>
        <v>createMovieClipSub</v>
      </c>
      <c r="K162" s="1" t="str">
        <f t="shared" si="41"/>
        <v>buyLevin</v>
      </c>
      <c r="L162" s="1"/>
      <c r="M162" s="1"/>
      <c r="N162" s="14" t="str">
        <f t="shared" ca="1" si="39"/>
        <v>MovieClipSub * buyLevin;</v>
      </c>
      <c r="O162" s="14" t="str">
        <f t="shared" ca="1" si="37"/>
        <v>buyLevin= this-&gt;createMovieClipSub("buyLevin");</v>
      </c>
    </row>
    <row r="163" spans="1:15" x14ac:dyDescent="0.25">
      <c r="A163" s="6"/>
      <c r="B163" s="4" t="s">
        <v>405</v>
      </c>
      <c r="C163" s="1">
        <f t="shared" ca="1" si="40"/>
        <v>2</v>
      </c>
      <c r="D163" s="1" t="s">
        <v>263</v>
      </c>
      <c r="E163" s="21" t="s">
        <v>620</v>
      </c>
      <c r="F163" s="21" t="s">
        <v>620</v>
      </c>
      <c r="G163" s="1" t="s">
        <v>671</v>
      </c>
      <c r="H163" s="1" t="str">
        <f t="shared" ca="1" si="42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38"/>
        <v>createText</v>
      </c>
      <c r="K163" s="1" t="str">
        <f t="shared" si="41"/>
        <v>buyTXT</v>
      </c>
      <c r="L163" s="1"/>
      <c r="M163" s="1"/>
      <c r="N163" s="14" t="str">
        <f t="shared" ca="1" si="39"/>
        <v>MCText * buyLevinBuyTXT;</v>
      </c>
      <c r="O163" s="14" t="str">
        <f t="shared" ca="1" si="37"/>
        <v>buyLevinBuyTXT= buyLevin-&gt;createText("buyTXT");</v>
      </c>
    </row>
    <row r="164" spans="1:15" x14ac:dyDescent="0.25">
      <c r="A164" s="6"/>
      <c r="B164" s="4" t="s">
        <v>408</v>
      </c>
      <c r="C164" s="1">
        <f t="shared" ca="1" si="40"/>
        <v>2</v>
      </c>
      <c r="D164" s="1" t="s">
        <v>263</v>
      </c>
      <c r="E164" s="21" t="s">
        <v>620</v>
      </c>
      <c r="F164" s="21" t="s">
        <v>620</v>
      </c>
      <c r="G164" s="1" t="s">
        <v>586</v>
      </c>
      <c r="H164" s="1" t="str">
        <f t="shared" ca="1" si="42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38"/>
        <v>createMovieClipSub</v>
      </c>
      <c r="K164" s="1" t="str">
        <f t="shared" si="41"/>
        <v>coin</v>
      </c>
      <c r="L164" s="1"/>
      <c r="M164" s="1"/>
      <c r="N164" s="14" t="str">
        <f t="shared" ca="1" si="39"/>
        <v>MovieClipSub * buyLevinCoin;</v>
      </c>
      <c r="O164" s="14" t="str">
        <f t="shared" ca="1" si="37"/>
        <v>buyLevinCoin= buyLevin-&gt;createMovieClipSub("coin");</v>
      </c>
    </row>
    <row r="165" spans="1:15" x14ac:dyDescent="0.25">
      <c r="A165" s="6"/>
      <c r="B165" s="4" t="s">
        <v>407</v>
      </c>
      <c r="C165" s="1">
        <f t="shared" ca="1" si="40"/>
        <v>2</v>
      </c>
      <c r="D165" s="1" t="s">
        <v>263</v>
      </c>
      <c r="E165" s="21" t="s">
        <v>620</v>
      </c>
      <c r="F165" s="21" t="s">
        <v>620</v>
      </c>
      <c r="G165" s="1" t="s">
        <v>586</v>
      </c>
      <c r="H165" s="1" t="str">
        <f t="shared" ca="1" si="42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38"/>
        <v>createMovieClipSub</v>
      </c>
      <c r="K165" s="1" t="str">
        <f t="shared" si="41"/>
        <v>lightUp</v>
      </c>
      <c r="L165" s="1"/>
      <c r="M165" s="1"/>
      <c r="N165" s="14" t="str">
        <f t="shared" ca="1" si="39"/>
        <v>MovieClipSub * buyLevinLightUp;</v>
      </c>
      <c r="O165" s="14" t="str">
        <f t="shared" ca="1" si="37"/>
        <v>buyLevinLightUp= buyLevin-&gt;createMovieClipSub("lightUp");</v>
      </c>
    </row>
    <row r="166" spans="1:15" x14ac:dyDescent="0.25">
      <c r="A166" s="6"/>
      <c r="B166" s="3" t="s">
        <v>594</v>
      </c>
      <c r="C166" s="1">
        <f t="shared" ca="1" si="40"/>
        <v>1</v>
      </c>
      <c r="D166" s="1" t="s">
        <v>263</v>
      </c>
      <c r="E166" s="21" t="s">
        <v>620</v>
      </c>
      <c r="F166" s="21" t="s">
        <v>620</v>
      </c>
      <c r="G166" s="1" t="s">
        <v>586</v>
      </c>
      <c r="H166" s="1" t="str">
        <f t="shared" ca="1" si="42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38"/>
        <v>createMovieClipSub</v>
      </c>
      <c r="K166" s="1" t="str">
        <f t="shared" si="41"/>
        <v>buyStone</v>
      </c>
      <c r="L166" s="1"/>
      <c r="M166" s="1"/>
      <c r="N166" s="14" t="str">
        <f t="shared" ca="1" si="39"/>
        <v>MovieClipSub * buyStone;</v>
      </c>
      <c r="O166" s="14" t="str">
        <f t="shared" ca="1" si="37"/>
        <v>buyStone= this-&gt;createMovieClipSub("buyStone");</v>
      </c>
    </row>
    <row r="167" spans="1:15" x14ac:dyDescent="0.25">
      <c r="A167" s="6"/>
      <c r="B167" s="4" t="s">
        <v>405</v>
      </c>
      <c r="C167" s="1">
        <f t="shared" ca="1" si="40"/>
        <v>2</v>
      </c>
      <c r="D167" s="1" t="s">
        <v>263</v>
      </c>
      <c r="E167" s="21" t="s">
        <v>620</v>
      </c>
      <c r="F167" s="21" t="s">
        <v>620</v>
      </c>
      <c r="G167" s="1" t="s">
        <v>671</v>
      </c>
      <c r="H167" s="1" t="str">
        <f t="shared" ca="1" si="42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38"/>
        <v>createText</v>
      </c>
      <c r="K167" s="1" t="str">
        <f t="shared" si="41"/>
        <v>buyTXT</v>
      </c>
      <c r="L167" s="1"/>
      <c r="M167" s="1"/>
      <c r="N167" s="14" t="str">
        <f t="shared" ca="1" si="39"/>
        <v>MCText * buyStoneBuyTXT;</v>
      </c>
      <c r="O167" s="14" t="str">
        <f t="shared" ca="1" si="37"/>
        <v>buyStoneBuyTXT= buyStone-&gt;createText("buyTXT");</v>
      </c>
    </row>
    <row r="168" spans="1:15" x14ac:dyDescent="0.25">
      <c r="A168" s="6"/>
      <c r="B168" s="4" t="s">
        <v>408</v>
      </c>
      <c r="C168" s="1">
        <f t="shared" ca="1" si="40"/>
        <v>2</v>
      </c>
      <c r="D168" s="1" t="s">
        <v>263</v>
      </c>
      <c r="E168" s="21" t="s">
        <v>620</v>
      </c>
      <c r="F168" s="21" t="s">
        <v>620</v>
      </c>
      <c r="G168" s="1" t="s">
        <v>586</v>
      </c>
      <c r="H168" s="1" t="str">
        <f t="shared" ca="1" si="42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38"/>
        <v>createMovieClipSub</v>
      </c>
      <c r="K168" s="1" t="str">
        <f t="shared" si="41"/>
        <v>coin</v>
      </c>
      <c r="L168" s="1"/>
      <c r="M168" s="1"/>
      <c r="N168" s="14" t="str">
        <f t="shared" ca="1" si="39"/>
        <v>MovieClipSub * buyStoneCoin;</v>
      </c>
      <c r="O168" s="14" t="str">
        <f t="shared" ca="1" si="37"/>
        <v>buyStoneCoin= buyStone-&gt;createMovieClipSub("coin");</v>
      </c>
    </row>
    <row r="169" spans="1:15" x14ac:dyDescent="0.25">
      <c r="A169" s="6"/>
      <c r="B169" s="4" t="s">
        <v>407</v>
      </c>
      <c r="C169" s="1">
        <f t="shared" ca="1" si="40"/>
        <v>2</v>
      </c>
      <c r="D169" s="1" t="s">
        <v>263</v>
      </c>
      <c r="E169" s="21" t="s">
        <v>620</v>
      </c>
      <c r="F169" s="21" t="s">
        <v>620</v>
      </c>
      <c r="G169" s="1" t="s">
        <v>586</v>
      </c>
      <c r="H169" s="1" t="str">
        <f t="shared" ca="1" si="42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38"/>
        <v>createMovieClipSub</v>
      </c>
      <c r="K169" s="1" t="str">
        <f t="shared" si="41"/>
        <v>lightUp</v>
      </c>
      <c r="L169" s="1"/>
      <c r="M169" s="1"/>
      <c r="N169" s="14" t="str">
        <f t="shared" ca="1" si="39"/>
        <v>MovieClipSub * buyStoneLightUp;</v>
      </c>
      <c r="O169" s="14" t="str">
        <f t="shared" ca="1" si="37"/>
        <v>buyStoneLightUp= buyStone-&gt;createMovieClipSub("lightUp");</v>
      </c>
    </row>
    <row r="170" spans="1:15" x14ac:dyDescent="0.25">
      <c r="A170" s="6"/>
      <c r="B170" s="3" t="s">
        <v>595</v>
      </c>
      <c r="C170" s="1">
        <f t="shared" ca="1" si="40"/>
        <v>1</v>
      </c>
      <c r="D170" s="1" t="s">
        <v>263</v>
      </c>
      <c r="E170" s="21" t="s">
        <v>620</v>
      </c>
      <c r="F170" s="21" t="s">
        <v>620</v>
      </c>
      <c r="G170" s="1" t="s">
        <v>586</v>
      </c>
      <c r="H170" s="1" t="str">
        <f t="shared" ca="1" si="42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38"/>
        <v>createMovieClipSub</v>
      </c>
      <c r="K170" s="1" t="str">
        <f t="shared" si="41"/>
        <v>fast</v>
      </c>
      <c r="L170" s="1"/>
      <c r="M170" s="1"/>
      <c r="N170" s="14" t="str">
        <f t="shared" ca="1" si="39"/>
        <v>MovieClipSub * fast;</v>
      </c>
      <c r="O170" s="14" t="str">
        <f t="shared" ca="1" si="37"/>
        <v>fast= this-&gt;createMovieClipSub("fast");</v>
      </c>
    </row>
    <row r="171" spans="1:15" x14ac:dyDescent="0.25">
      <c r="A171" s="6"/>
      <c r="B171" s="4" t="s">
        <v>409</v>
      </c>
      <c r="C171" s="1">
        <f t="shared" ca="1" si="40"/>
        <v>2</v>
      </c>
      <c r="D171" s="1" t="s">
        <v>263</v>
      </c>
      <c r="E171" s="21" t="s">
        <v>620</v>
      </c>
      <c r="F171" s="21" t="s">
        <v>620</v>
      </c>
      <c r="G171" s="1" t="s">
        <v>669</v>
      </c>
      <c r="H171" s="1" t="str">
        <f t="shared" ca="1" si="42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38"/>
        <v>createCase</v>
      </c>
      <c r="K171" s="1" t="str">
        <f t="shared" si="41"/>
        <v>fastCase</v>
      </c>
      <c r="L171" s="1"/>
      <c r="M171" s="1"/>
      <c r="N171" s="14" t="str">
        <f t="shared" ca="1" si="39"/>
        <v>MCCase * fastFastCase;</v>
      </c>
      <c r="O171" s="14" t="str">
        <f t="shared" ca="1" si="37"/>
        <v>fastFastCase= fast-&gt;createCase("fastCase");</v>
      </c>
    </row>
    <row r="172" spans="1:15" x14ac:dyDescent="0.25">
      <c r="A172" s="6"/>
      <c r="B172" s="4" t="s">
        <v>80</v>
      </c>
      <c r="C172" s="1">
        <f t="shared" ca="1" si="40"/>
        <v>2</v>
      </c>
      <c r="D172" s="1" t="s">
        <v>263</v>
      </c>
      <c r="E172" s="21" t="s">
        <v>620</v>
      </c>
      <c r="F172" s="21" t="s">
        <v>620</v>
      </c>
      <c r="G172" s="1" t="s">
        <v>586</v>
      </c>
      <c r="H172" s="1" t="str">
        <f t="shared" ca="1" si="42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38"/>
        <v>createMovieClipSub</v>
      </c>
      <c r="K172" s="1" t="str">
        <f t="shared" si="41"/>
        <v>cont</v>
      </c>
      <c r="L172" s="1"/>
      <c r="M172" s="1"/>
      <c r="N172" s="14" t="str">
        <f t="shared" ca="1" si="39"/>
        <v>MovieClipSub * fastCont;</v>
      </c>
      <c r="O172" s="14" t="str">
        <f t="shared" ca="1" si="37"/>
        <v>fastCont= fast-&gt;createMovieClipSub("cont");</v>
      </c>
    </row>
    <row r="173" spans="1:15" x14ac:dyDescent="0.25">
      <c r="A173" s="6"/>
      <c r="B173" s="3" t="s">
        <v>596</v>
      </c>
      <c r="C173" s="1">
        <f t="shared" ca="1" si="40"/>
        <v>1</v>
      </c>
      <c r="D173" s="1" t="s">
        <v>263</v>
      </c>
      <c r="E173" s="21" t="s">
        <v>620</v>
      </c>
      <c r="F173" s="21" t="s">
        <v>620</v>
      </c>
      <c r="G173" s="1" t="s">
        <v>586</v>
      </c>
      <c r="H173" s="1" t="str">
        <f t="shared" ca="1" si="42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38"/>
        <v>createMovieClipSub</v>
      </c>
      <c r="K173" s="1" t="str">
        <f t="shared" si="41"/>
        <v>fireBack</v>
      </c>
      <c r="L173" s="1"/>
      <c r="M173" s="1"/>
      <c r="N173" s="14" t="str">
        <f t="shared" ca="1" si="39"/>
        <v>MovieClipSub * fireBack;</v>
      </c>
      <c r="O173" s="14" t="str">
        <f t="shared" ca="1" si="37"/>
        <v>fireBack= this-&gt;createMovieClipSub("fireBack");</v>
      </c>
    </row>
    <row r="174" spans="1:15" x14ac:dyDescent="0.25">
      <c r="A174" s="6"/>
      <c r="B174" s="4" t="s">
        <v>80</v>
      </c>
      <c r="C174" s="1">
        <f t="shared" ca="1" si="40"/>
        <v>2</v>
      </c>
      <c r="D174" s="1" t="s">
        <v>263</v>
      </c>
      <c r="E174" s="21" t="s">
        <v>620</v>
      </c>
      <c r="F174" s="21" t="s">
        <v>620</v>
      </c>
      <c r="G174" s="1" t="s">
        <v>586</v>
      </c>
      <c r="H174" s="1" t="str">
        <f t="shared" ca="1" si="42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38"/>
        <v>createMovieClipSub</v>
      </c>
      <c r="K174" s="1" t="str">
        <f t="shared" si="41"/>
        <v>cont</v>
      </c>
      <c r="L174" s="1"/>
      <c r="M174" s="1"/>
      <c r="N174" s="14" t="str">
        <f t="shared" ca="1" si="39"/>
        <v>MovieClipSub * fireBackCont;</v>
      </c>
      <c r="O174" s="14" t="str">
        <f t="shared" ca="1" si="37"/>
        <v>fireBackCont= fireBack-&gt;createMovieClipSub("cont");</v>
      </c>
    </row>
    <row r="175" spans="1:15" x14ac:dyDescent="0.25">
      <c r="A175" s="6"/>
      <c r="B175" s="3" t="s">
        <v>410</v>
      </c>
      <c r="C175" s="1">
        <f t="shared" ca="1" si="40"/>
        <v>1</v>
      </c>
      <c r="D175" s="1" t="s">
        <v>263</v>
      </c>
      <c r="E175" s="21" t="s">
        <v>620</v>
      </c>
      <c r="F175" s="21" t="s">
        <v>620</v>
      </c>
      <c r="G175" s="1" t="s">
        <v>586</v>
      </c>
      <c r="H175" s="1" t="str">
        <f t="shared" ca="1" si="42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38"/>
        <v>createMovieClipSub</v>
      </c>
      <c r="K175" s="1" t="str">
        <f t="shared" si="41"/>
        <v>fireBacklight</v>
      </c>
      <c r="L175" s="1"/>
      <c r="M175" s="1"/>
      <c r="N175" s="14" t="str">
        <f t="shared" ca="1" si="39"/>
        <v>MovieClipSub * fireBacklight;</v>
      </c>
      <c r="O175" s="14" t="str">
        <f t="shared" ca="1" si="37"/>
        <v>fireBacklight= this-&gt;createMovieClipSub("fireBacklight");</v>
      </c>
    </row>
    <row r="176" spans="1:15" x14ac:dyDescent="0.25">
      <c r="A176" s="6"/>
      <c r="B176" s="3" t="s">
        <v>411</v>
      </c>
      <c r="C176" s="1">
        <f t="shared" ca="1" si="40"/>
        <v>1</v>
      </c>
      <c r="D176" s="1" t="s">
        <v>263</v>
      </c>
      <c r="E176" s="21" t="s">
        <v>620</v>
      </c>
      <c r="F176" s="21" t="s">
        <v>620</v>
      </c>
      <c r="G176" s="1" t="s">
        <v>671</v>
      </c>
      <c r="H176" s="1" t="str">
        <f t="shared" ca="1" si="42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38"/>
        <v>createText</v>
      </c>
      <c r="K176" s="1" t="str">
        <f t="shared" si="41"/>
        <v>fireNumTXT</v>
      </c>
      <c r="L176" s="1"/>
      <c r="M176" s="1"/>
      <c r="N176" s="14" t="str">
        <f t="shared" ca="1" si="39"/>
        <v>MCText * fireNumTXT;</v>
      </c>
      <c r="O176" s="14" t="str">
        <f t="shared" ca="1" si="37"/>
        <v>fireNumTXT= this-&gt;createText("fireNumTXT");</v>
      </c>
    </row>
    <row r="177" spans="1:15" x14ac:dyDescent="0.25">
      <c r="A177" s="6"/>
      <c r="B177" s="3" t="s">
        <v>412</v>
      </c>
      <c r="C177" s="1">
        <f t="shared" ca="1" si="40"/>
        <v>1</v>
      </c>
      <c r="D177" s="1" t="s">
        <v>263</v>
      </c>
      <c r="E177" s="21" t="s">
        <v>620</v>
      </c>
      <c r="F177" s="21" t="s">
        <v>620</v>
      </c>
      <c r="G177" s="1" t="s">
        <v>586</v>
      </c>
      <c r="H177" s="1" t="str">
        <f t="shared" ca="1" si="42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38"/>
        <v>createMovieClipSub</v>
      </c>
      <c r="K177" s="1" t="str">
        <f t="shared" si="41"/>
        <v>firePrice</v>
      </c>
      <c r="L177" s="1"/>
      <c r="M177" s="1"/>
      <c r="N177" s="14" t="str">
        <f t="shared" ca="1" si="39"/>
        <v>MovieClipSub * firePrice;</v>
      </c>
      <c r="O177" s="14" t="str">
        <f t="shared" ca="1" si="37"/>
        <v>firePrice= this-&gt;createMovieClipSub("firePrice");</v>
      </c>
    </row>
    <row r="178" spans="1:15" x14ac:dyDescent="0.25">
      <c r="A178" s="6"/>
      <c r="B178" s="3" t="s">
        <v>598</v>
      </c>
      <c r="C178" s="1">
        <f t="shared" ca="1" si="40"/>
        <v>1</v>
      </c>
      <c r="D178" s="1" t="s">
        <v>263</v>
      </c>
      <c r="E178" s="21" t="s">
        <v>620</v>
      </c>
      <c r="F178" s="21" t="s">
        <v>620</v>
      </c>
      <c r="G178" s="1" t="s">
        <v>586</v>
      </c>
      <c r="H178" s="1" t="str">
        <f t="shared" ca="1" si="42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38"/>
        <v>createMovieClipSub</v>
      </c>
      <c r="K178" s="1" t="str">
        <f t="shared" si="41"/>
        <v>fireSphere</v>
      </c>
      <c r="L178" s="1"/>
      <c r="M178" s="1"/>
      <c r="N178" s="14" t="str">
        <f t="shared" ca="1" si="39"/>
        <v>MovieClipSub * fireSphere;</v>
      </c>
      <c r="O178" s="14" t="str">
        <f t="shared" ca="1" si="37"/>
        <v>fireSphere= this-&gt;createMovieClipSub("fireSphere");</v>
      </c>
    </row>
    <row r="179" spans="1:15" x14ac:dyDescent="0.25">
      <c r="A179" s="6"/>
      <c r="B179" s="4" t="s">
        <v>597</v>
      </c>
      <c r="C179" s="1">
        <f t="shared" ca="1" si="40"/>
        <v>2</v>
      </c>
      <c r="D179" s="1" t="s">
        <v>263</v>
      </c>
      <c r="E179" s="21" t="s">
        <v>620</v>
      </c>
      <c r="F179" s="21" t="s">
        <v>620</v>
      </c>
      <c r="G179" s="1" t="s">
        <v>669</v>
      </c>
      <c r="H179" s="1" t="str">
        <f t="shared" ca="1" si="42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38"/>
        <v>createCase</v>
      </c>
      <c r="K179" s="1" t="str">
        <f t="shared" si="41"/>
        <v>sphereCase</v>
      </c>
      <c r="L179" s="1"/>
      <c r="M179" s="1"/>
      <c r="N179" s="14" t="str">
        <f t="shared" ca="1" si="39"/>
        <v>MCCase * fireSphereSphereCase;</v>
      </c>
      <c r="O179" s="14" t="str">
        <f t="shared" ca="1" si="37"/>
        <v>fireSphereSphereCase= fireSphere-&gt;createCase("sphereCase");</v>
      </c>
    </row>
    <row r="180" spans="1:15" x14ac:dyDescent="0.25">
      <c r="A180" s="6"/>
      <c r="B180" s="3" t="s">
        <v>599</v>
      </c>
      <c r="C180" s="1">
        <f t="shared" ca="1" si="40"/>
        <v>1</v>
      </c>
      <c r="D180" s="1" t="s">
        <v>263</v>
      </c>
      <c r="E180" s="21" t="s">
        <v>620</v>
      </c>
      <c r="F180" s="21" t="s">
        <v>620</v>
      </c>
      <c r="G180" s="1" t="s">
        <v>586</v>
      </c>
      <c r="H180" s="1" t="str">
        <f t="shared" ca="1" si="42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38"/>
        <v>createMovieClipSub</v>
      </c>
      <c r="K180" s="1" t="str">
        <f t="shared" si="41"/>
        <v>getAll</v>
      </c>
      <c r="L180" s="1"/>
      <c r="M180" s="1"/>
      <c r="N180" s="14" t="str">
        <f t="shared" ca="1" si="39"/>
        <v>MovieClipSub * getAll;</v>
      </c>
      <c r="O180" s="14" t="str">
        <f t="shared" ca="1" si="37"/>
        <v>getAll= this-&gt;createMovieClipSub("getAll");</v>
      </c>
    </row>
    <row r="181" spans="1:15" x14ac:dyDescent="0.25">
      <c r="A181" s="6"/>
      <c r="B181" s="4" t="s">
        <v>111</v>
      </c>
      <c r="C181" s="1">
        <f t="shared" ca="1" si="40"/>
        <v>2</v>
      </c>
      <c r="D181" s="1" t="s">
        <v>263</v>
      </c>
      <c r="E181" s="21" t="s">
        <v>620</v>
      </c>
      <c r="F181" s="21" t="s">
        <v>620</v>
      </c>
      <c r="G181" s="1" t="s">
        <v>586</v>
      </c>
      <c r="H181" s="1" t="str">
        <f t="shared" ca="1" si="42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38"/>
        <v>createMovieClipSub</v>
      </c>
      <c r="K181" s="1" t="str">
        <f t="shared" si="41"/>
        <v>fire</v>
      </c>
      <c r="L181" s="1"/>
      <c r="M181" s="1"/>
      <c r="N181" s="14" t="str">
        <f t="shared" ca="1" si="39"/>
        <v>MovieClipSub * getAllFire;</v>
      </c>
      <c r="O181" s="14" t="str">
        <f t="shared" ca="1" si="37"/>
        <v>getAllFire= getAll-&gt;createMovieClipSub("fire");</v>
      </c>
    </row>
    <row r="182" spans="1:15" x14ac:dyDescent="0.25">
      <c r="A182" s="6"/>
      <c r="B182" s="4" t="s">
        <v>112</v>
      </c>
      <c r="C182" s="1">
        <f t="shared" ca="1" si="40"/>
        <v>2</v>
      </c>
      <c r="D182" s="1" t="s">
        <v>263</v>
      </c>
      <c r="E182" s="21" t="s">
        <v>620</v>
      </c>
      <c r="F182" s="21" t="s">
        <v>620</v>
      </c>
      <c r="G182" s="1" t="s">
        <v>586</v>
      </c>
      <c r="H182" s="1" t="str">
        <f t="shared" ca="1" si="42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38"/>
        <v>createMovieClipSub</v>
      </c>
      <c r="K182" s="1" t="str">
        <f t="shared" si="41"/>
        <v>ice</v>
      </c>
      <c r="L182" s="1"/>
      <c r="M182" s="1"/>
      <c r="N182" s="14" t="str">
        <f t="shared" ca="1" si="39"/>
        <v>MovieClipSub * getAllIce;</v>
      </c>
      <c r="O182" s="14" t="str">
        <f t="shared" ca="1" si="37"/>
        <v>getAllIce= getAll-&gt;createMovieClipSub("ice");</v>
      </c>
    </row>
    <row r="183" spans="1:15" x14ac:dyDescent="0.25">
      <c r="A183" s="6"/>
      <c r="B183" s="4" t="s">
        <v>114</v>
      </c>
      <c r="C183" s="1">
        <f t="shared" ca="1" si="40"/>
        <v>2</v>
      </c>
      <c r="D183" s="1" t="s">
        <v>263</v>
      </c>
      <c r="E183" s="21" t="s">
        <v>620</v>
      </c>
      <c r="F183" s="21" t="s">
        <v>620</v>
      </c>
      <c r="G183" s="1" t="s">
        <v>586</v>
      </c>
      <c r="H183" s="1" t="str">
        <f t="shared" ca="1" si="42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38"/>
        <v>createMovieClipSub</v>
      </c>
      <c r="K183" s="1" t="str">
        <f t="shared" si="41"/>
        <v>levin</v>
      </c>
      <c r="L183" s="1"/>
      <c r="M183" s="1"/>
      <c r="N183" s="14" t="str">
        <f t="shared" ca="1" si="39"/>
        <v>MovieClipSub * getAllLevin;</v>
      </c>
      <c r="O183" s="14" t="str">
        <f t="shared" ca="1" si="37"/>
        <v>getAllLevin= getAll-&gt;createMovieClipSub("levin");</v>
      </c>
    </row>
    <row r="184" spans="1:15" x14ac:dyDescent="0.25">
      <c r="A184" s="6"/>
      <c r="B184" s="4" t="s">
        <v>413</v>
      </c>
      <c r="C184" s="1">
        <f t="shared" ca="1" si="40"/>
        <v>2</v>
      </c>
      <c r="D184" s="1" t="s">
        <v>263</v>
      </c>
      <c r="E184" s="21" t="s">
        <v>620</v>
      </c>
      <c r="F184" s="21" t="s">
        <v>620</v>
      </c>
      <c r="G184" s="1" t="s">
        <v>669</v>
      </c>
      <c r="H184" s="1" t="str">
        <f t="shared" ca="1" si="42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38"/>
        <v>createCase</v>
      </c>
      <c r="K184" s="1" t="str">
        <f t="shared" si="41"/>
        <v>sphereCase</v>
      </c>
      <c r="L184" s="1"/>
      <c r="M184" s="1"/>
      <c r="N184" s="14" t="str">
        <f t="shared" ca="1" si="39"/>
        <v>MCCase * getAllSphereCase;</v>
      </c>
      <c r="O184" s="14" t="str">
        <f t="shared" ca="1" si="37"/>
        <v>getAllSphereCase= getAll-&gt;createCase("sphereCase");</v>
      </c>
    </row>
    <row r="185" spans="1:15" x14ac:dyDescent="0.25">
      <c r="A185" s="6"/>
      <c r="B185" s="4" t="s">
        <v>113</v>
      </c>
      <c r="C185" s="1">
        <f t="shared" ca="1" si="40"/>
        <v>2</v>
      </c>
      <c r="D185" s="1" t="s">
        <v>263</v>
      </c>
      <c r="E185" s="21" t="s">
        <v>620</v>
      </c>
      <c r="F185" s="21" t="s">
        <v>620</v>
      </c>
      <c r="G185" s="1" t="s">
        <v>586</v>
      </c>
      <c r="H185" s="1" t="str">
        <f t="shared" ca="1" si="42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38"/>
        <v>createMovieClipSub</v>
      </c>
      <c r="K185" s="1" t="str">
        <f t="shared" si="41"/>
        <v>stone</v>
      </c>
      <c r="L185" s="1"/>
      <c r="M185" s="1"/>
      <c r="N185" s="14" t="str">
        <f t="shared" ca="1" si="39"/>
        <v>MovieClipSub * getAllStone;</v>
      </c>
      <c r="O185" s="14" t="str">
        <f t="shared" ca="1" si="37"/>
        <v>getAllStone= getAll-&gt;createMovieClipSub("stone");</v>
      </c>
    </row>
    <row r="186" spans="1:15" x14ac:dyDescent="0.25">
      <c r="A186" s="6"/>
      <c r="B186" s="3" t="s">
        <v>414</v>
      </c>
      <c r="C186" s="1">
        <f t="shared" ca="1" si="40"/>
        <v>1</v>
      </c>
      <c r="D186" s="1" t="s">
        <v>263</v>
      </c>
      <c r="E186" s="21" t="s">
        <v>620</v>
      </c>
      <c r="F186" s="21" t="s">
        <v>620</v>
      </c>
      <c r="G186" s="1" t="s">
        <v>671</v>
      </c>
      <c r="H186" s="1" t="str">
        <f t="shared" ca="1" si="42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38"/>
        <v>createText</v>
      </c>
      <c r="K186" s="1" t="str">
        <f t="shared" si="41"/>
        <v>getAllNumTXT</v>
      </c>
      <c r="L186" s="1"/>
      <c r="M186" s="1"/>
      <c r="N186" s="14" t="str">
        <f t="shared" ca="1" si="39"/>
        <v>MCText * getAllNumTXT;</v>
      </c>
      <c r="O186" s="14" t="str">
        <f t="shared" ca="1" si="37"/>
        <v>getAllNumTXT= this-&gt;createText("getAllNumTXT");</v>
      </c>
    </row>
    <row r="187" spans="1:15" x14ac:dyDescent="0.25">
      <c r="A187" s="6"/>
      <c r="B187" s="3" t="s">
        <v>600</v>
      </c>
      <c r="C187" s="1">
        <f t="shared" ca="1" si="40"/>
        <v>1</v>
      </c>
      <c r="D187" s="1" t="s">
        <v>263</v>
      </c>
      <c r="E187" s="21" t="s">
        <v>620</v>
      </c>
      <c r="F187" s="21" t="s">
        <v>620</v>
      </c>
      <c r="G187" s="1" t="s">
        <v>586</v>
      </c>
      <c r="H187" s="1" t="str">
        <f t="shared" ca="1" si="42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createMovieClipSub</v>
      </c>
      <c r="K187" s="1" t="str">
        <f t="shared" si="41"/>
        <v>iceBack</v>
      </c>
      <c r="L187" s="1"/>
      <c r="M187" s="1"/>
      <c r="N187" s="14" t="str">
        <f t="shared" ca="1" si="39"/>
        <v>MovieClipSub * iceBack;</v>
      </c>
      <c r="O187" s="14" t="str">
        <f t="shared" ca="1" si="37"/>
        <v>iceBack= this-&gt;createMovieClipSub("iceBack");</v>
      </c>
    </row>
    <row r="188" spans="1:15" x14ac:dyDescent="0.25">
      <c r="A188" s="6"/>
      <c r="B188" s="4" t="s">
        <v>80</v>
      </c>
      <c r="C188" s="1">
        <f t="shared" ca="1" si="40"/>
        <v>2</v>
      </c>
      <c r="D188" s="1" t="s">
        <v>263</v>
      </c>
      <c r="E188" s="21" t="s">
        <v>620</v>
      </c>
      <c r="F188" s="21" t="s">
        <v>620</v>
      </c>
      <c r="G188" s="1" t="s">
        <v>586</v>
      </c>
      <c r="H188" s="1" t="str">
        <f t="shared" ca="1" si="42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38"/>
        <v>createMovieClipSub</v>
      </c>
      <c r="K188" s="1" t="str">
        <f t="shared" si="41"/>
        <v>cont</v>
      </c>
      <c r="L188" s="1"/>
      <c r="M188" s="1"/>
      <c r="N188" s="14" t="str">
        <f t="shared" ca="1" si="39"/>
        <v>MovieClipSub * iceBackCont;</v>
      </c>
      <c r="O188" s="14" t="str">
        <f t="shared" ca="1" si="37"/>
        <v>iceBackCont= iceBack-&gt;createMovieClipSub("cont");</v>
      </c>
    </row>
    <row r="189" spans="1:15" x14ac:dyDescent="0.25">
      <c r="A189" s="6"/>
      <c r="B189" s="3" t="s">
        <v>415</v>
      </c>
      <c r="C189" s="1">
        <f t="shared" ca="1" si="40"/>
        <v>1</v>
      </c>
      <c r="D189" s="1" t="s">
        <v>263</v>
      </c>
      <c r="E189" s="21" t="s">
        <v>620</v>
      </c>
      <c r="F189" s="21" t="s">
        <v>620</v>
      </c>
      <c r="G189" s="1" t="s">
        <v>586</v>
      </c>
      <c r="H189" s="1" t="str">
        <f t="shared" ref="H189:H220" ca="1" si="43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41"/>
        <v>iceBacklight</v>
      </c>
      <c r="L189" s="1"/>
      <c r="M189" s="1"/>
      <c r="N189" s="14" t="str">
        <f t="shared" ca="1" si="39"/>
        <v>MovieClipSub * iceBacklight;</v>
      </c>
      <c r="O189" s="14" t="str">
        <f t="shared" ca="1" si="37"/>
        <v>iceBacklight= this-&gt;createMovieClipSub("iceBacklight");</v>
      </c>
    </row>
    <row r="190" spans="1:15" x14ac:dyDescent="0.25">
      <c r="A190" s="6"/>
      <c r="B190" s="3" t="s">
        <v>607</v>
      </c>
      <c r="C190" s="1">
        <f t="shared" ca="1" si="40"/>
        <v>1</v>
      </c>
      <c r="D190" s="1" t="s">
        <v>263</v>
      </c>
      <c r="E190" s="21" t="s">
        <v>620</v>
      </c>
      <c r="F190" s="21" t="s">
        <v>620</v>
      </c>
      <c r="G190" s="1" t="s">
        <v>671</v>
      </c>
      <c r="H190" s="1" t="str">
        <f t="shared" ca="1" si="43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38"/>
        <v>createText</v>
      </c>
      <c r="K190" s="1" t="str">
        <f t="shared" si="41"/>
        <v>iceNumTXT</v>
      </c>
      <c r="L190" s="1"/>
      <c r="M190" s="1"/>
      <c r="N190" s="14" t="str">
        <f t="shared" ca="1" si="39"/>
        <v>MCText * iceNumTXT;</v>
      </c>
      <c r="O190" s="14" t="str">
        <f t="shared" ca="1" si="37"/>
        <v>iceNumTXT= this-&gt;createText("iceNumTXT");</v>
      </c>
    </row>
    <row r="191" spans="1:15" x14ac:dyDescent="0.25">
      <c r="A191" s="6"/>
      <c r="B191" s="3" t="s">
        <v>601</v>
      </c>
      <c r="C191" s="1">
        <f t="shared" ca="1" si="40"/>
        <v>1</v>
      </c>
      <c r="D191" s="1" t="s">
        <v>263</v>
      </c>
      <c r="E191" s="21" t="s">
        <v>620</v>
      </c>
      <c r="F191" s="21" t="s">
        <v>620</v>
      </c>
      <c r="G191" s="1" t="s">
        <v>586</v>
      </c>
      <c r="H191" s="1" t="str">
        <f t="shared" ca="1" si="43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createMovieClipSub</v>
      </c>
      <c r="K191" s="1" t="str">
        <f t="shared" ref="K191:K222" si="44">B191</f>
        <v>iceSphere</v>
      </c>
      <c r="L191" s="1"/>
      <c r="M191" s="1"/>
      <c r="N191" s="14" t="str">
        <f t="shared" ca="1" si="39"/>
        <v>MovieClipSub * iceSphere;</v>
      </c>
      <c r="O191" s="14" t="str">
        <f t="shared" ca="1" si="37"/>
        <v>iceSphere= this-&gt;createMovieClipSub("iceSphere");</v>
      </c>
    </row>
    <row r="192" spans="1:15" x14ac:dyDescent="0.25">
      <c r="A192" s="6"/>
      <c r="B192" s="4" t="s">
        <v>413</v>
      </c>
      <c r="C192" s="1">
        <f t="shared" ca="1" si="40"/>
        <v>2</v>
      </c>
      <c r="D192" s="1" t="s">
        <v>263</v>
      </c>
      <c r="E192" s="21" t="s">
        <v>620</v>
      </c>
      <c r="F192" s="21" t="s">
        <v>620</v>
      </c>
      <c r="G192" s="1" t="s">
        <v>669</v>
      </c>
      <c r="H192" s="1" t="str">
        <f t="shared" ca="1" si="43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38"/>
        <v>createCase</v>
      </c>
      <c r="K192" s="1" t="str">
        <f t="shared" si="44"/>
        <v>sphereCase</v>
      </c>
      <c r="L192" s="1"/>
      <c r="M192" s="1"/>
      <c r="N192" s="14" t="str">
        <f t="shared" ca="1" si="39"/>
        <v>MCCase * iceSphereSphereCase;</v>
      </c>
      <c r="O192" s="14" t="str">
        <f t="shared" ca="1" si="37"/>
        <v>iceSphereSphereCase= iceSphere-&gt;createCase("sphereCase");</v>
      </c>
    </row>
    <row r="193" spans="1:15" x14ac:dyDescent="0.25">
      <c r="A193" s="6"/>
      <c r="B193" s="3" t="s">
        <v>416</v>
      </c>
      <c r="C193" s="1">
        <f t="shared" ca="1" si="40"/>
        <v>1</v>
      </c>
      <c r="D193" s="1" t="s">
        <v>263</v>
      </c>
      <c r="E193" s="21" t="s">
        <v>620</v>
      </c>
      <c r="F193" s="21" t="s">
        <v>620</v>
      </c>
      <c r="G193" s="1" t="s">
        <v>671</v>
      </c>
      <c r="H193" s="1" t="str">
        <f t="shared" ca="1" si="43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createText</v>
      </c>
      <c r="K193" s="1" t="str">
        <f t="shared" si="44"/>
        <v>lastTime</v>
      </c>
      <c r="L193" s="1"/>
      <c r="M193" s="1"/>
      <c r="N193" s="14" t="str">
        <f t="shared" ca="1" si="39"/>
        <v>MCText * lastTime;</v>
      </c>
      <c r="O193" s="14" t="str">
        <f t="shared" ca="1" si="37"/>
        <v>lastTime= this-&gt;createText("lastTime");</v>
      </c>
    </row>
    <row r="194" spans="1:15" x14ac:dyDescent="0.25">
      <c r="A194" s="6"/>
      <c r="B194" s="3" t="s">
        <v>602</v>
      </c>
      <c r="C194" s="1">
        <f t="shared" ca="1" si="40"/>
        <v>1</v>
      </c>
      <c r="D194" s="1" t="s">
        <v>263</v>
      </c>
      <c r="E194" s="21" t="s">
        <v>620</v>
      </c>
      <c r="F194" s="21" t="s">
        <v>620</v>
      </c>
      <c r="G194" s="1" t="s">
        <v>586</v>
      </c>
      <c r="H194" s="1" t="str">
        <f t="shared" ca="1" si="43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38"/>
        <v>createMovieClipSub</v>
      </c>
      <c r="K194" s="1" t="str">
        <f t="shared" si="44"/>
        <v>levinBack</v>
      </c>
      <c r="L194" s="1"/>
      <c r="M194" s="1"/>
      <c r="N194" s="14" t="str">
        <f t="shared" ca="1" si="39"/>
        <v>MovieClipSub * levinBack;</v>
      </c>
      <c r="O194" s="14" t="str">
        <f t="shared" ref="O194:O222" ca="1" si="45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levinBack= this-&gt;createMovieClipSub("levinBack");</v>
      </c>
    </row>
    <row r="195" spans="1:15" x14ac:dyDescent="0.25">
      <c r="A195" s="6"/>
      <c r="B195" s="4" t="s">
        <v>80</v>
      </c>
      <c r="C195" s="1">
        <f t="shared" ca="1" si="40"/>
        <v>2</v>
      </c>
      <c r="D195" s="1" t="s">
        <v>263</v>
      </c>
      <c r="E195" s="21" t="s">
        <v>620</v>
      </c>
      <c r="F195" s="21" t="s">
        <v>620</v>
      </c>
      <c r="G195" s="1" t="s">
        <v>586</v>
      </c>
      <c r="H195" s="1" t="str">
        <f t="shared" ca="1" si="43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38"/>
        <v>createMovieClipSub</v>
      </c>
      <c r="K195" s="1" t="str">
        <f t="shared" si="44"/>
        <v>cont</v>
      </c>
      <c r="L195" s="1"/>
      <c r="M195" s="1"/>
      <c r="N195" s="14" t="str">
        <f t="shared" ca="1" si="39"/>
        <v>MovieClipSub * levinBackCont;</v>
      </c>
      <c r="O195" s="14" t="str">
        <f t="shared" ca="1" si="45"/>
        <v>levinBackCont= levinBack-&gt;createMovieClipSub("cont");</v>
      </c>
    </row>
    <row r="196" spans="1:15" x14ac:dyDescent="0.25">
      <c r="A196" s="6"/>
      <c r="B196" s="3" t="s">
        <v>417</v>
      </c>
      <c r="C196" s="1">
        <f t="shared" ca="1" si="40"/>
        <v>1</v>
      </c>
      <c r="D196" s="1" t="s">
        <v>263</v>
      </c>
      <c r="E196" s="21" t="s">
        <v>620</v>
      </c>
      <c r="F196" s="21" t="s">
        <v>620</v>
      </c>
      <c r="G196" s="1" t="s">
        <v>106</v>
      </c>
      <c r="H196" s="1" t="str">
        <f t="shared" ca="1" si="43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createdb</v>
      </c>
      <c r="K196" s="1" t="str">
        <f t="shared" si="44"/>
        <v>levinBacklight</v>
      </c>
      <c r="L196" s="1"/>
      <c r="M196" s="1"/>
      <c r="N196" s="14" t="str">
        <f t="shared" ca="1" si="39"/>
        <v>db * levinBacklight;</v>
      </c>
      <c r="O196" s="14" t="str">
        <f t="shared" ca="1" si="45"/>
        <v>levinBacklight= this-&gt;createdb("levinBacklight");</v>
      </c>
    </row>
    <row r="197" spans="1:15" x14ac:dyDescent="0.25">
      <c r="A197" s="6"/>
      <c r="B197" s="3" t="s">
        <v>418</v>
      </c>
      <c r="C197" s="1">
        <f t="shared" ca="1" si="40"/>
        <v>1</v>
      </c>
      <c r="D197" s="1" t="s">
        <v>263</v>
      </c>
      <c r="E197" s="21" t="s">
        <v>620</v>
      </c>
      <c r="F197" s="21" t="s">
        <v>620</v>
      </c>
      <c r="G197" s="1" t="s">
        <v>671</v>
      </c>
      <c r="H197" s="1" t="str">
        <f t="shared" ca="1" si="43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6">CONCATENATE("create",IF(LEFT(G197,2)="MC",MID(G197,3,LEN(G197)),G197))</f>
        <v>createText</v>
      </c>
      <c r="K197" s="1" t="str">
        <f t="shared" si="44"/>
        <v>levinNumTXT</v>
      </c>
      <c r="L197" s="1"/>
      <c r="M197" s="1"/>
      <c r="N197" s="14" t="str">
        <f t="shared" ca="1" si="39"/>
        <v>MCText * levinNumTXT;</v>
      </c>
      <c r="O197" s="14" t="str">
        <f t="shared" ca="1" si="45"/>
        <v>levinNumTXT= this-&gt;createText("levinNumTXT");</v>
      </c>
    </row>
    <row r="198" spans="1:15" x14ac:dyDescent="0.25">
      <c r="A198" s="6"/>
      <c r="B198" s="3" t="s">
        <v>603</v>
      </c>
      <c r="C198" s="1">
        <f t="shared" ca="1" si="40"/>
        <v>1</v>
      </c>
      <c r="D198" s="1" t="s">
        <v>263</v>
      </c>
      <c r="E198" s="21" t="s">
        <v>620</v>
      </c>
      <c r="F198" s="21" t="s">
        <v>620</v>
      </c>
      <c r="G198" s="1" t="s">
        <v>586</v>
      </c>
      <c r="H198" s="1" t="str">
        <f t="shared" ca="1" si="43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levinSphere</v>
      </c>
      <c r="L198" s="1"/>
      <c r="M198" s="1"/>
      <c r="N198" s="14" t="str">
        <f t="shared" ca="1" si="39"/>
        <v>MovieClipSub * levinSphere;</v>
      </c>
      <c r="O198" s="14" t="str">
        <f t="shared" ca="1" si="45"/>
        <v>levinSphere= this-&gt;createMovieClipSub("levinSphere");</v>
      </c>
    </row>
    <row r="199" spans="1:15" x14ac:dyDescent="0.25">
      <c r="A199" s="6"/>
      <c r="B199" s="4" t="s">
        <v>413</v>
      </c>
      <c r="C199" s="1">
        <f t="shared" ca="1" si="40"/>
        <v>2</v>
      </c>
      <c r="D199" s="1" t="s">
        <v>263</v>
      </c>
      <c r="E199" s="21" t="s">
        <v>620</v>
      </c>
      <c r="F199" s="21" t="s">
        <v>620</v>
      </c>
      <c r="G199" s="1" t="s">
        <v>669</v>
      </c>
      <c r="H199" s="1" t="str">
        <f t="shared" ca="1" si="43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6"/>
        <v>createCase</v>
      </c>
      <c r="K199" s="1" t="str">
        <f t="shared" si="44"/>
        <v>sphereCase</v>
      </c>
      <c r="L199" s="1"/>
      <c r="M199" s="1"/>
      <c r="N199" s="14" t="str">
        <f t="shared" ca="1" si="39"/>
        <v>MCCase * levinSphereSphereCase;</v>
      </c>
      <c r="O199" s="14" t="str">
        <f t="shared" ca="1" si="45"/>
        <v>levinSphereSphereCase= levinSphere-&gt;createCase("sphereCase");</v>
      </c>
    </row>
    <row r="200" spans="1:15" x14ac:dyDescent="0.25">
      <c r="A200" s="6"/>
      <c r="B200" s="3" t="s">
        <v>419</v>
      </c>
      <c r="C200" s="1">
        <f t="shared" ca="1" si="40"/>
        <v>1</v>
      </c>
      <c r="D200" s="1" t="s">
        <v>263</v>
      </c>
      <c r="E200" s="21" t="s">
        <v>620</v>
      </c>
      <c r="F200" s="21" t="s">
        <v>620</v>
      </c>
      <c r="G200" s="1" t="s">
        <v>671</v>
      </c>
      <c r="H200" s="1" t="str">
        <f t="shared" ca="1" si="43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createText</v>
      </c>
      <c r="K200" s="1" t="str">
        <f t="shared" si="44"/>
        <v>liveTXT</v>
      </c>
      <c r="L200" s="1"/>
      <c r="M200" s="1"/>
      <c r="N200" s="14" t="str">
        <f t="shared" ca="1" si="39"/>
        <v>MCText * liveTXT;</v>
      </c>
      <c r="O200" s="14" t="str">
        <f t="shared" ca="1" si="45"/>
        <v>liveTXT= this-&gt;createText("liveTXT");</v>
      </c>
    </row>
    <row r="201" spans="1:15" x14ac:dyDescent="0.25">
      <c r="A201" s="6"/>
      <c r="B201" s="3" t="s">
        <v>420</v>
      </c>
      <c r="C201" s="1">
        <f t="shared" ca="1" si="40"/>
        <v>1</v>
      </c>
      <c r="D201" s="1" t="s">
        <v>263</v>
      </c>
      <c r="E201" s="21" t="s">
        <v>620</v>
      </c>
      <c r="F201" s="21" t="s">
        <v>620</v>
      </c>
      <c r="G201" s="1" t="s">
        <v>671</v>
      </c>
      <c r="H201" s="1" t="str">
        <f t="shared" ca="1" si="43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createText</v>
      </c>
      <c r="K201" s="1" t="str">
        <f t="shared" si="44"/>
        <v>moneyTXT</v>
      </c>
      <c r="L201" s="1"/>
      <c r="M201" s="1"/>
      <c r="N201" s="14" t="str">
        <f t="shared" ca="1" si="39"/>
        <v>MCText * moneyTXT;</v>
      </c>
      <c r="O201" s="14" t="str">
        <f t="shared" ca="1" si="45"/>
        <v>moneyTXT= this-&gt;createText("moneyTXT");</v>
      </c>
    </row>
    <row r="202" spans="1:15" x14ac:dyDescent="0.25">
      <c r="A202" s="6"/>
      <c r="B202" s="3" t="s">
        <v>604</v>
      </c>
      <c r="C202" s="1">
        <f t="shared" ca="1" si="40"/>
        <v>1</v>
      </c>
      <c r="D202" s="1" t="s">
        <v>263</v>
      </c>
      <c r="E202" s="21" t="s">
        <v>620</v>
      </c>
      <c r="F202" s="21" t="s">
        <v>620</v>
      </c>
      <c r="G202" s="1" t="s">
        <v>586</v>
      </c>
      <c r="H202" s="1" t="str">
        <f t="shared" ca="1" si="43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pause</v>
      </c>
      <c r="L202" s="1"/>
      <c r="M202" s="1"/>
      <c r="N202" s="14" t="str">
        <f t="shared" ca="1" si="39"/>
        <v>MovieClipSub * pause;</v>
      </c>
      <c r="O202" s="14" t="str">
        <f t="shared" ca="1" si="45"/>
        <v>pause= this-&gt;createMovieClipSub("pause");</v>
      </c>
    </row>
    <row r="203" spans="1:15" x14ac:dyDescent="0.25">
      <c r="A203" s="6"/>
      <c r="B203" s="4" t="s">
        <v>421</v>
      </c>
      <c r="C203" s="1">
        <f t="shared" ca="1" si="40"/>
        <v>2</v>
      </c>
      <c r="D203" s="1" t="s">
        <v>263</v>
      </c>
      <c r="E203" s="21" t="s">
        <v>620</v>
      </c>
      <c r="F203" s="21" t="s">
        <v>620</v>
      </c>
      <c r="G203" s="1" t="s">
        <v>669</v>
      </c>
      <c r="H203" s="1" t="str">
        <f t="shared" ca="1" si="43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6"/>
        <v>createCase</v>
      </c>
      <c r="K203" s="1" t="str">
        <f t="shared" si="44"/>
        <v>pauseCase</v>
      </c>
      <c r="L203" s="1"/>
      <c r="M203" s="1"/>
      <c r="N203" s="14" t="str">
        <f t="shared" ca="1" si="39"/>
        <v>MCCase * pausePauseCase;</v>
      </c>
      <c r="O203" s="14" t="str">
        <f t="shared" ca="1" si="45"/>
        <v>pausePauseCase= pause-&gt;createCase("pauseCase");</v>
      </c>
    </row>
    <row r="204" spans="1:15" x14ac:dyDescent="0.25">
      <c r="A204" s="6"/>
      <c r="B204" s="3" t="s">
        <v>422</v>
      </c>
      <c r="C204" s="1">
        <f t="shared" ca="1" si="40"/>
        <v>1</v>
      </c>
      <c r="D204" s="1" t="s">
        <v>263</v>
      </c>
      <c r="E204" s="21" t="s">
        <v>620</v>
      </c>
      <c r="F204" s="21" t="s">
        <v>620</v>
      </c>
      <c r="G204" s="1" t="s">
        <v>586</v>
      </c>
      <c r="H204" s="1" t="str">
        <f t="shared" ca="1" si="43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selectUnit</v>
      </c>
      <c r="L204" s="1"/>
      <c r="M204" s="1"/>
      <c r="N204" s="14" t="str">
        <f t="shared" ref="N204:N222" ca="1" si="47">IF(C204&gt;0,G204 &amp; " * "&amp;H204 &amp;";","")</f>
        <v>MovieClipSub * selectUnit;</v>
      </c>
      <c r="O204" s="14" t="str">
        <f t="shared" ca="1" si="45"/>
        <v>selectUnit= this-&gt;createMovieClipSub("selectUnit");</v>
      </c>
    </row>
    <row r="205" spans="1:15" x14ac:dyDescent="0.25">
      <c r="A205" s="6"/>
      <c r="B205" s="3" t="s">
        <v>423</v>
      </c>
      <c r="C205" s="1">
        <f t="shared" ca="1" si="40"/>
        <v>1</v>
      </c>
      <c r="D205" s="1" t="s">
        <v>263</v>
      </c>
      <c r="E205" s="21" t="s">
        <v>620</v>
      </c>
      <c r="F205" s="21" t="s">
        <v>620</v>
      </c>
      <c r="G205" s="1" t="s">
        <v>586</v>
      </c>
      <c r="H205" s="1" t="str">
        <f t="shared" ca="1" si="43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sell</v>
      </c>
      <c r="L205" s="1"/>
      <c r="M205" s="1"/>
      <c r="N205" s="14" t="str">
        <f t="shared" ca="1" si="47"/>
        <v>MovieClipSub * sell;</v>
      </c>
      <c r="O205" s="14" t="str">
        <f t="shared" ca="1" si="45"/>
        <v>sell= this-&gt;createMovieClipSub("sell");</v>
      </c>
    </row>
    <row r="206" spans="1:15" x14ac:dyDescent="0.25">
      <c r="A206" s="6"/>
      <c r="B206" s="3" t="s">
        <v>424</v>
      </c>
      <c r="C206" s="1">
        <f t="shared" ca="1" si="40"/>
        <v>1</v>
      </c>
      <c r="D206" s="1" t="s">
        <v>263</v>
      </c>
      <c r="E206" s="21" t="s">
        <v>620</v>
      </c>
      <c r="F206" s="21" t="s">
        <v>620</v>
      </c>
      <c r="G206" s="1" t="s">
        <v>586</v>
      </c>
      <c r="H206" s="1" t="str">
        <f t="shared" ca="1" si="43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slow</v>
      </c>
      <c r="L206" s="1"/>
      <c r="M206" s="1"/>
      <c r="N206" s="14" t="str">
        <f t="shared" ca="1" si="47"/>
        <v>MovieClipSub * slow;</v>
      </c>
      <c r="O206" s="14" t="str">
        <f t="shared" ca="1" si="45"/>
        <v>slow= this-&gt;createMovieClipSub("slow");</v>
      </c>
    </row>
    <row r="207" spans="1:15" x14ac:dyDescent="0.25">
      <c r="A207" s="6"/>
      <c r="B207" s="3" t="s">
        <v>605</v>
      </c>
      <c r="C207" s="1">
        <f t="shared" ca="1" si="40"/>
        <v>1</v>
      </c>
      <c r="D207" s="1" t="s">
        <v>263</v>
      </c>
      <c r="E207" s="21" t="s">
        <v>620</v>
      </c>
      <c r="F207" s="21" t="s">
        <v>620</v>
      </c>
      <c r="G207" s="1" t="s">
        <v>586</v>
      </c>
      <c r="H207" s="1" t="str">
        <f t="shared" ca="1" si="43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createMovieClipSub</v>
      </c>
      <c r="K207" s="1" t="str">
        <f t="shared" si="44"/>
        <v>startWaves</v>
      </c>
      <c r="L207" s="1"/>
      <c r="M207" s="1"/>
      <c r="N207" s="14" t="str">
        <f t="shared" ca="1" si="47"/>
        <v>MovieClipSub * startWaves;</v>
      </c>
      <c r="O207" s="14" t="str">
        <f t="shared" ca="1" si="45"/>
        <v>startWaves= this-&gt;createMovieClipSub("startWaves");</v>
      </c>
    </row>
    <row r="208" spans="1:15" x14ac:dyDescent="0.25">
      <c r="A208" s="6"/>
      <c r="B208" s="4" t="s">
        <v>425</v>
      </c>
      <c r="C208" s="1">
        <f t="shared" ca="1" si="40"/>
        <v>2</v>
      </c>
      <c r="D208" s="1" t="s">
        <v>263</v>
      </c>
      <c r="E208" s="21" t="s">
        <v>620</v>
      </c>
      <c r="F208" s="21" t="s">
        <v>620</v>
      </c>
      <c r="G208" s="1" t="s">
        <v>669</v>
      </c>
      <c r="H208" s="1" t="str">
        <f t="shared" ca="1" si="43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6"/>
        <v>createCase</v>
      </c>
      <c r="K208" s="1" t="str">
        <f t="shared" si="44"/>
        <v>startWavesCase</v>
      </c>
      <c r="L208" s="1"/>
      <c r="M208" s="1"/>
      <c r="N208" s="14" t="str">
        <f t="shared" ca="1" si="47"/>
        <v>MCCase * startWavesStartWavesCase;</v>
      </c>
      <c r="O208" s="14" t="str">
        <f t="shared" ca="1" si="45"/>
        <v>startWavesStartWavesCase= startWaves-&gt;createCase("startWavesCase");</v>
      </c>
    </row>
    <row r="209" spans="1:15" x14ac:dyDescent="0.25">
      <c r="A209" s="6"/>
      <c r="B209" s="3" t="s">
        <v>606</v>
      </c>
      <c r="C209" s="1">
        <f t="shared" ca="1" si="40"/>
        <v>1</v>
      </c>
      <c r="D209" s="1" t="s">
        <v>263</v>
      </c>
      <c r="E209" s="21" t="s">
        <v>620</v>
      </c>
      <c r="F209" s="21" t="s">
        <v>620</v>
      </c>
      <c r="G209" s="1" t="s">
        <v>586</v>
      </c>
      <c r="H209" s="1" t="str">
        <f t="shared" ca="1" si="43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44"/>
        <v>stoneBack</v>
      </c>
      <c r="L209" s="1"/>
      <c r="M209" s="1"/>
      <c r="N209" s="14" t="str">
        <f t="shared" ca="1" si="47"/>
        <v>MovieClipSub * stoneBack;</v>
      </c>
      <c r="O209" s="14" t="str">
        <f t="shared" ca="1" si="45"/>
        <v>stoneBack= this-&gt;createMovieClipSub("stoneBack");</v>
      </c>
    </row>
    <row r="210" spans="1:15" x14ac:dyDescent="0.25">
      <c r="A210" s="6"/>
      <c r="B210" s="4" t="s">
        <v>427</v>
      </c>
      <c r="C210" s="1">
        <f t="shared" ca="1" si="40"/>
        <v>2</v>
      </c>
      <c r="D210" s="1" t="s">
        <v>263</v>
      </c>
      <c r="E210" s="21" t="s">
        <v>620</v>
      </c>
      <c r="F210" s="21" t="s">
        <v>620</v>
      </c>
      <c r="G210" s="1" t="s">
        <v>586</v>
      </c>
      <c r="H210" s="1" t="str">
        <f t="shared" ca="1" si="43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6"/>
        <v>createMovieClipSub</v>
      </c>
      <c r="K210" s="1" t="str">
        <f t="shared" si="44"/>
        <v>cont</v>
      </c>
      <c r="L210" s="1"/>
      <c r="M210" s="1"/>
      <c r="N210" s="14" t="str">
        <f t="shared" ca="1" si="47"/>
        <v>MovieClipSub * stoneBackCont;</v>
      </c>
      <c r="O210" s="14" t="str">
        <f t="shared" ca="1" si="45"/>
        <v>stoneBackCont= stoneBack-&gt;createMovieClipSub("cont");</v>
      </c>
    </row>
    <row r="211" spans="1:15" x14ac:dyDescent="0.25">
      <c r="A211" s="6"/>
      <c r="B211" s="3" t="s">
        <v>426</v>
      </c>
      <c r="C211" s="1">
        <f t="shared" ca="1" si="40"/>
        <v>1</v>
      </c>
      <c r="D211" s="1" t="s">
        <v>263</v>
      </c>
      <c r="E211" s="21" t="s">
        <v>620</v>
      </c>
      <c r="F211" s="21" t="s">
        <v>620</v>
      </c>
      <c r="G211" s="1" t="s">
        <v>586</v>
      </c>
      <c r="H211" s="1" t="str">
        <f t="shared" ca="1" si="43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44"/>
        <v>stoneBacklight</v>
      </c>
      <c r="L211" s="1"/>
      <c r="M211" s="1"/>
      <c r="N211" s="14" t="str">
        <f t="shared" ca="1" si="47"/>
        <v>MovieClipSub * stoneBacklight;</v>
      </c>
      <c r="O211" s="14" t="str">
        <f t="shared" ca="1" si="45"/>
        <v>stoneBacklight= this-&gt;createMovieClipSub("stoneBacklight");</v>
      </c>
    </row>
    <row r="212" spans="1:15" x14ac:dyDescent="0.25">
      <c r="A212" s="6"/>
      <c r="B212" s="3" t="s">
        <v>428</v>
      </c>
      <c r="C212" s="1">
        <f t="shared" ca="1" si="40"/>
        <v>1</v>
      </c>
      <c r="D212" s="1" t="s">
        <v>263</v>
      </c>
      <c r="E212" s="21" t="s">
        <v>620</v>
      </c>
      <c r="F212" s="21" t="s">
        <v>620</v>
      </c>
      <c r="G212" s="1" t="s">
        <v>671</v>
      </c>
      <c r="H212" s="1" t="str">
        <f t="shared" ca="1" si="43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createText</v>
      </c>
      <c r="K212" s="1" t="str">
        <f t="shared" si="44"/>
        <v>stoneNumTXT</v>
      </c>
      <c r="L212" s="1"/>
      <c r="M212" s="1"/>
      <c r="N212" s="14" t="str">
        <f t="shared" ca="1" si="47"/>
        <v>MCText * stoneNumTXT;</v>
      </c>
      <c r="O212" s="14" t="str">
        <f t="shared" ca="1" si="45"/>
        <v>stoneNumTXT= this-&gt;createText("stoneNumTXT");</v>
      </c>
    </row>
    <row r="213" spans="1:15" x14ac:dyDescent="0.25">
      <c r="A213" s="6"/>
      <c r="B213" s="3" t="s">
        <v>585</v>
      </c>
      <c r="C213" s="1">
        <f t="shared" ref="C213:C222" ca="1" si="48">indent(B213)</f>
        <v>1</v>
      </c>
      <c r="D213" s="1" t="s">
        <v>263</v>
      </c>
      <c r="E213" s="21" t="s">
        <v>620</v>
      </c>
      <c r="F213" s="21" t="s">
        <v>620</v>
      </c>
      <c r="G213" s="1" t="s">
        <v>586</v>
      </c>
      <c r="H213" s="1" t="str">
        <f t="shared" ca="1" si="43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44"/>
        <v>stoneSphere</v>
      </c>
      <c r="L213" s="1"/>
      <c r="M213" s="1"/>
      <c r="N213" s="14" t="str">
        <f t="shared" ca="1" si="47"/>
        <v>MovieClipSub * stoneSphere;</v>
      </c>
      <c r="O213" s="14" t="str">
        <f t="shared" ca="1" si="45"/>
        <v>stoneSphere= this-&gt;createMovieClipSub("stoneSphere");</v>
      </c>
    </row>
    <row r="214" spans="1:15" x14ac:dyDescent="0.25">
      <c r="A214" s="6"/>
      <c r="B214" s="4" t="s">
        <v>413</v>
      </c>
      <c r="C214" s="1">
        <f t="shared" ca="1" si="48"/>
        <v>2</v>
      </c>
      <c r="D214" s="1" t="s">
        <v>263</v>
      </c>
      <c r="E214" s="21" t="s">
        <v>620</v>
      </c>
      <c r="F214" s="21" t="s">
        <v>620</v>
      </c>
      <c r="G214" s="1" t="s">
        <v>669</v>
      </c>
      <c r="H214" s="1" t="str">
        <f t="shared" ca="1" si="43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6"/>
        <v>createCase</v>
      </c>
      <c r="K214" s="1" t="str">
        <f t="shared" si="44"/>
        <v>sphereCase</v>
      </c>
      <c r="L214" s="1"/>
      <c r="M214" s="1"/>
      <c r="N214" s="14" t="str">
        <f t="shared" ca="1" si="47"/>
        <v>MCCase * stoneSphereSphereCase;</v>
      </c>
      <c r="O214" s="14" t="str">
        <f t="shared" ca="1" si="45"/>
        <v>stoneSphereSphereCase= stoneSphere-&gt;createCase("sphereCase");</v>
      </c>
    </row>
    <row r="215" spans="1:15" x14ac:dyDescent="0.25">
      <c r="A215" s="6"/>
      <c r="B215" s="3" t="s">
        <v>583</v>
      </c>
      <c r="C215" s="1">
        <f t="shared" ca="1" si="48"/>
        <v>1</v>
      </c>
      <c r="D215" s="1" t="s">
        <v>263</v>
      </c>
      <c r="E215" s="21" t="s">
        <v>620</v>
      </c>
      <c r="F215" s="21" t="s">
        <v>620</v>
      </c>
      <c r="G215" s="1" t="s">
        <v>586</v>
      </c>
      <c r="H215" s="1" t="str">
        <f t="shared" ca="1" si="43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44"/>
        <v>testRestart</v>
      </c>
      <c r="L215" s="1"/>
      <c r="M215" s="1"/>
      <c r="N215" s="14" t="str">
        <f t="shared" ca="1" si="47"/>
        <v>MovieClipSub * testRestart;</v>
      </c>
      <c r="O215" s="14" t="str">
        <f t="shared" ca="1" si="45"/>
        <v>testRestart= this-&gt;createMovieClipSub("testRestart");</v>
      </c>
    </row>
    <row r="216" spans="1:15" x14ac:dyDescent="0.25">
      <c r="A216" s="6"/>
      <c r="B216" s="3" t="s">
        <v>582</v>
      </c>
      <c r="C216" s="1">
        <f t="shared" ca="1" si="48"/>
        <v>1</v>
      </c>
      <c r="D216" s="1" t="s">
        <v>263</v>
      </c>
      <c r="E216" s="21" t="s">
        <v>620</v>
      </c>
      <c r="F216" s="21" t="s">
        <v>620</v>
      </c>
      <c r="G216" s="1" t="s">
        <v>586</v>
      </c>
      <c r="H216" s="1" t="str">
        <f t="shared" ca="1" si="43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44"/>
        <v>testRestartBoard</v>
      </c>
      <c r="L216" s="1"/>
      <c r="M216" s="1"/>
      <c r="N216" s="14" t="str">
        <f t="shared" ca="1" si="47"/>
        <v>MovieClipSub * testRestartBoard;</v>
      </c>
      <c r="O216" s="14" t="str">
        <f t="shared" ca="1" si="45"/>
        <v>testRestartBoard= this-&gt;createMovieClipSub("testRestartBoard");</v>
      </c>
    </row>
    <row r="217" spans="1:15" x14ac:dyDescent="0.25">
      <c r="A217" s="6"/>
      <c r="B217" s="4" t="s">
        <v>429</v>
      </c>
      <c r="C217" s="1">
        <f t="shared" ca="1" si="48"/>
        <v>2</v>
      </c>
      <c r="D217" s="1" t="s">
        <v>263</v>
      </c>
      <c r="E217" s="21" t="s">
        <v>620</v>
      </c>
      <c r="F217" s="21" t="s">
        <v>620</v>
      </c>
      <c r="G217" s="1" t="s">
        <v>671</v>
      </c>
      <c r="H217" s="1" t="str">
        <f t="shared" ca="1" si="43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6"/>
        <v>createText</v>
      </c>
      <c r="K217" s="1" t="str">
        <f t="shared" si="44"/>
        <v>waveTXT</v>
      </c>
      <c r="L217" s="1"/>
      <c r="M217" s="1"/>
      <c r="N217" s="14" t="str">
        <f t="shared" ca="1" si="47"/>
        <v>MCText * testRestartBoardWaveTXT;</v>
      </c>
      <c r="O217" s="14" t="str">
        <f t="shared" ca="1" si="45"/>
        <v>testRestartBoardWaveTXT= testRestartBoard-&gt;createText("waveTXT");</v>
      </c>
    </row>
    <row r="218" spans="1:15" x14ac:dyDescent="0.25">
      <c r="A218" s="6"/>
      <c r="B218" s="3" t="s">
        <v>429</v>
      </c>
      <c r="C218" s="1">
        <f t="shared" ca="1" si="48"/>
        <v>1</v>
      </c>
      <c r="D218" s="1" t="s">
        <v>263</v>
      </c>
      <c r="E218" s="21" t="s">
        <v>620</v>
      </c>
      <c r="F218" s="21" t="s">
        <v>620</v>
      </c>
      <c r="G218" s="1" t="s">
        <v>671</v>
      </c>
      <c r="H218" s="1" t="str">
        <f t="shared" ca="1" si="43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createText</v>
      </c>
      <c r="K218" s="1" t="str">
        <f t="shared" si="44"/>
        <v>waveTXT</v>
      </c>
      <c r="L218" s="1"/>
      <c r="M218" s="1"/>
      <c r="N218" s="14" t="str">
        <f t="shared" ca="1" si="47"/>
        <v>MCText * waveTXT;</v>
      </c>
      <c r="O218" s="14" t="str">
        <f t="shared" ca="1" si="45"/>
        <v>waveTXT= this-&gt;createText("waveTXT");</v>
      </c>
    </row>
    <row r="219" spans="1:15" x14ac:dyDescent="0.25">
      <c r="A219" s="6"/>
      <c r="B219" s="1" t="s">
        <v>432</v>
      </c>
      <c r="C219" s="1">
        <f t="shared" ca="1" si="48"/>
        <v>0</v>
      </c>
      <c r="D219" s="1" t="s">
        <v>263</v>
      </c>
      <c r="E219" s="1" t="s">
        <v>619</v>
      </c>
      <c r="F219" s="1" t="s">
        <v>620</v>
      </c>
      <c r="G219" s="1" t="s">
        <v>618</v>
      </c>
      <c r="H219" s="1" t="str">
        <f t="shared" ca="1" si="43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createMovieClip</v>
      </c>
      <c r="K219" s="1" t="str">
        <f t="shared" si="44"/>
        <v>GetAchieve_mc</v>
      </c>
      <c r="L219" s="1"/>
      <c r="M219" s="1"/>
      <c r="N219" s="14" t="str">
        <f t="shared" ca="1" si="47"/>
        <v/>
      </c>
      <c r="O219" s="14" t="str">
        <f t="shared" ca="1" si="45"/>
        <v>GetAchieve_mc::GetAchieve_mc:MovieClip("worldinterface/","GetAchieve_mc","GetAchieve_mc"{)</v>
      </c>
    </row>
    <row r="220" spans="1:15" x14ac:dyDescent="0.25">
      <c r="A220" s="6"/>
      <c r="B220" s="3" t="s">
        <v>431</v>
      </c>
      <c r="C220" s="1">
        <f t="shared" ca="1" si="48"/>
        <v>1</v>
      </c>
      <c r="D220" s="1" t="s">
        <v>263</v>
      </c>
      <c r="E220" s="1" t="s">
        <v>619</v>
      </c>
      <c r="F220" s="1" t="s">
        <v>620</v>
      </c>
      <c r="G220" s="1" t="s">
        <v>586</v>
      </c>
      <c r="H220" s="1" t="str">
        <f t="shared" ca="1" si="43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createMovieClipSub</v>
      </c>
      <c r="K220" s="1" t="str">
        <f t="shared" si="44"/>
        <v>icon</v>
      </c>
      <c r="L220" s="1"/>
      <c r="M220" s="1"/>
      <c r="N220" s="14" t="str">
        <f t="shared" ca="1" si="47"/>
        <v>MovieClipSub * icon;</v>
      </c>
      <c r="O220" s="14" t="str">
        <f t="shared" ca="1" si="45"/>
        <v>icon= this-&gt;createMovieClipSub("icon");</v>
      </c>
    </row>
    <row r="221" spans="1:15" x14ac:dyDescent="0.25">
      <c r="A221" s="6"/>
      <c r="B221" s="3" t="s">
        <v>338</v>
      </c>
      <c r="C221" s="1">
        <f t="shared" ca="1" si="48"/>
        <v>1</v>
      </c>
      <c r="D221" s="1" t="s">
        <v>263</v>
      </c>
      <c r="E221" s="1" t="s">
        <v>619</v>
      </c>
      <c r="F221" s="1" t="s">
        <v>620</v>
      </c>
      <c r="G221" s="1" t="s">
        <v>586</v>
      </c>
      <c r="H221" s="1" t="str">
        <f t="shared" ref="H221:H222" ca="1" si="49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44"/>
        <v>board</v>
      </c>
      <c r="L221" s="1"/>
      <c r="M221" s="1"/>
      <c r="N221" s="14" t="str">
        <f t="shared" ca="1" si="47"/>
        <v>MovieClipSub * board;</v>
      </c>
      <c r="O221" s="14" t="str">
        <f t="shared" ca="1" si="45"/>
        <v>board= this-&gt;createMovieClipSub("board");</v>
      </c>
    </row>
    <row r="222" spans="1:15" x14ac:dyDescent="0.25">
      <c r="A222" s="6"/>
      <c r="B222" s="4" t="s">
        <v>154</v>
      </c>
      <c r="C222" s="1">
        <f t="shared" ca="1" si="48"/>
        <v>2</v>
      </c>
      <c r="D222" s="1" t="s">
        <v>263</v>
      </c>
      <c r="E222" s="1" t="s">
        <v>619</v>
      </c>
      <c r="F222" s="1" t="s">
        <v>620</v>
      </c>
      <c r="G222" s="1" t="s">
        <v>672</v>
      </c>
      <c r="H222" s="1" t="str">
        <f t="shared" ca="1" si="49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6"/>
        <v>createText</v>
      </c>
      <c r="K222" s="1" t="str">
        <f t="shared" si="44"/>
        <v>noteTXT</v>
      </c>
      <c r="L222" s="1"/>
      <c r="M222" s="1"/>
      <c r="N222" s="14" t="str">
        <f t="shared" ca="1" si="47"/>
        <v>MCText * boardNoteTXT;</v>
      </c>
      <c r="O222" s="14" t="str">
        <f t="shared" ca="1" si="45"/>
        <v>boardNoteTXT= board-&gt;createText("noteTXT");</v>
      </c>
    </row>
    <row r="223" spans="1:15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X389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4" max="14" width="18.6640625" customWidth="1"/>
    <col min="15" max="15" width="29.33203125" customWidth="1"/>
  </cols>
  <sheetData>
    <row r="1" spans="1:24" x14ac:dyDescent="0.25">
      <c r="A1" s="2" t="s">
        <v>18</v>
      </c>
      <c r="B1" s="2" t="s">
        <v>51</v>
      </c>
      <c r="C1" s="2" t="s">
        <v>617</v>
      </c>
      <c r="D1" s="2" t="s">
        <v>5</v>
      </c>
      <c r="E1" s="2" t="s">
        <v>128</v>
      </c>
      <c r="F1" s="2" t="s">
        <v>127</v>
      </c>
      <c r="G1" s="25" t="s">
        <v>105</v>
      </c>
      <c r="H1" s="25" t="s">
        <v>608</v>
      </c>
      <c r="I1" s="25" t="s">
        <v>589</v>
      </c>
      <c r="J1" s="25" t="s">
        <v>609</v>
      </c>
      <c r="K1" s="25" t="s">
        <v>50</v>
      </c>
      <c r="L1" s="2" t="s">
        <v>6</v>
      </c>
      <c r="M1" s="2" t="s">
        <v>769</v>
      </c>
      <c r="N1" s="2" t="s">
        <v>673</v>
      </c>
      <c r="O1" s="2" t="s">
        <v>674</v>
      </c>
      <c r="P1" s="2"/>
      <c r="Q1" s="2"/>
      <c r="R1" s="2"/>
      <c r="S1" s="2"/>
      <c r="T1" s="2"/>
      <c r="U1" s="2"/>
      <c r="V1" s="2"/>
      <c r="W1" s="2"/>
      <c r="X1" s="2"/>
    </row>
    <row r="2" spans="1:24" x14ac:dyDescent="0.25">
      <c r="A2" s="1" t="s">
        <v>330</v>
      </c>
      <c r="B2" s="1" t="s">
        <v>329</v>
      </c>
      <c r="C2" s="1">
        <f ca="1">indent(B2)</f>
        <v>0</v>
      </c>
      <c r="D2" s="1" t="s">
        <v>316</v>
      </c>
      <c r="E2" s="1" t="s">
        <v>708</v>
      </c>
      <c r="F2" s="1" t="s">
        <v>705</v>
      </c>
      <c r="G2" s="21" t="s">
        <v>587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4" t="str">
        <f ca="1">IF(C2&gt;0,G2 &amp; " * "&amp;H2 &amp;";","")</f>
        <v/>
      </c>
      <c r="O2" s="14" t="str">
        <f t="shared" ref="O2:O65" ca="1" si="1">IF(C2&gt;0,IF(G2="MovieClip",IF(M2&lt;&gt;"y",H2&amp;"= "&amp;I2&amp;"-&gt;"&amp;J2&amp;"("""&amp;B2&amp;""","""&amp;D2&amp;"/"","""&amp;L2&amp;""","""&amp;K2&amp;""")"&amp;";",
H2&amp;"= "&amp;"("&amp;K2&amp;"*)"&amp;I2&amp;"-&gt;"&amp;J2&amp;"("""&amp;B2&amp;""",new "&amp;K2&amp;"())"&amp;";"
),H2&amp;"= "&amp;I2&amp;"-&gt;"&amp;J2&amp;"("""&amp;K2&amp;""")"&amp;";"),IF(RIGHT(B2,3)&lt;&gt;"_mc",G2&amp;"("""&amp;D2&amp;""","""&amp;B2&amp;""","""&amp;K2&amp;"""{)",B2&amp;"::"&amp;B2&amp;":"&amp;G2&amp;"("""&amp;D2&amp;"/"","""&amp;B2&amp;""","""&amp;K2&amp;"""{)"))</f>
        <v>MiddleScreen_mc::MiddleScreen_mc:MovieClip("screen/","MiddleScreen_mc","MiddleScreen_mc"{)</v>
      </c>
    </row>
    <row r="3" spans="1:24" x14ac:dyDescent="0.25">
      <c r="A3" s="1" t="s">
        <v>330</v>
      </c>
      <c r="B3" s="3" t="s">
        <v>331</v>
      </c>
      <c r="C3" s="1">
        <f t="shared" ref="C3:C66" ca="1" si="2">indent(B3)</f>
        <v>1</v>
      </c>
      <c r="D3" s="1" t="s">
        <v>316</v>
      </c>
      <c r="E3" s="1" t="s">
        <v>708</v>
      </c>
      <c r="F3" s="1" t="s">
        <v>705</v>
      </c>
      <c r="G3" s="1" t="s">
        <v>586</v>
      </c>
      <c r="H3" s="1" t="str">
        <f t="shared" ref="H3:H33" ca="1" si="3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0"/>
        <v>leftDown</v>
      </c>
      <c r="L3" s="1"/>
      <c r="M3" s="1"/>
      <c r="N3" s="14" t="str">
        <f ca="1">IF(C3&gt;0,G3 &amp; " * "&amp;H3 &amp;";","")</f>
        <v>MovieClipSub * leftDown;</v>
      </c>
      <c r="O3" s="14" t="str">
        <f t="shared" ca="1" si="1"/>
        <v>leftDown= this-&gt;createMovieClipSub("leftDown");</v>
      </c>
    </row>
    <row r="4" spans="1:24" x14ac:dyDescent="0.25">
      <c r="A4" s="1" t="s">
        <v>330</v>
      </c>
      <c r="B4" s="3" t="s">
        <v>332</v>
      </c>
      <c r="C4" s="1">
        <f t="shared" ca="1" si="2"/>
        <v>1</v>
      </c>
      <c r="D4" s="1" t="s">
        <v>316</v>
      </c>
      <c r="E4" s="1" t="s">
        <v>708</v>
      </c>
      <c r="F4" s="1" t="s">
        <v>705</v>
      </c>
      <c r="G4" s="1" t="s">
        <v>586</v>
      </c>
      <c r="H4" s="1" t="str">
        <f t="shared" ca="1" si="3"/>
        <v>leftUp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0"/>
        <v>leftUp</v>
      </c>
      <c r="L4" s="1"/>
      <c r="M4" s="1"/>
      <c r="N4" s="14" t="str">
        <f t="shared" ref="N4:N67" ca="1" si="5">IF(C4&gt;0,G4 &amp; " * "&amp;H4 &amp;";","")</f>
        <v>MovieClipSub * leftUp;</v>
      </c>
      <c r="O4" s="14" t="str">
        <f t="shared" ca="1" si="1"/>
        <v>leftUp= this-&gt;createMovieClipSub("leftUp");</v>
      </c>
    </row>
    <row r="5" spans="1:24" x14ac:dyDescent="0.25">
      <c r="A5" s="1" t="s">
        <v>330</v>
      </c>
      <c r="B5" s="3" t="s">
        <v>333</v>
      </c>
      <c r="C5" s="1">
        <f t="shared" ca="1" si="2"/>
        <v>1</v>
      </c>
      <c r="D5" s="1" t="s">
        <v>316</v>
      </c>
      <c r="E5" s="1" t="s">
        <v>708</v>
      </c>
      <c r="F5" s="1" t="s">
        <v>705</v>
      </c>
      <c r="G5" s="1" t="s">
        <v>586</v>
      </c>
      <c r="H5" s="1" t="str">
        <f t="shared" ca="1" si="3"/>
        <v>rightDown</v>
      </c>
      <c r="I5" s="1" t="str">
        <f ca="1">IF(C5&lt;2,"this",IF(C5=C4,I4,IF(C5&gt;C4,H4, LOOKUP(1,0/(H$2:H4=I4),I$2:I5))))</f>
        <v>this</v>
      </c>
      <c r="J5" s="1" t="str">
        <f t="shared" si="4"/>
        <v>createMovieClipSub</v>
      </c>
      <c r="K5" s="1" t="str">
        <f t="shared" si="0"/>
        <v>rightDown</v>
      </c>
      <c r="L5" s="1"/>
      <c r="M5" s="1"/>
      <c r="N5" s="14" t="str">
        <f t="shared" ca="1" si="5"/>
        <v>MovieClipSub * rightDown;</v>
      </c>
      <c r="O5" s="14" t="str">
        <f t="shared" ca="1" si="1"/>
        <v>rightDown= this-&gt;createMovieClipSub("rightDown");</v>
      </c>
    </row>
    <row r="6" spans="1:24" x14ac:dyDescent="0.25">
      <c r="A6" s="1" t="s">
        <v>330</v>
      </c>
      <c r="B6" s="3" t="s">
        <v>334</v>
      </c>
      <c r="C6" s="1">
        <f t="shared" ca="1" si="2"/>
        <v>1</v>
      </c>
      <c r="D6" s="1" t="s">
        <v>316</v>
      </c>
      <c r="E6" s="1" t="s">
        <v>708</v>
      </c>
      <c r="F6" s="1" t="s">
        <v>705</v>
      </c>
      <c r="G6" s="1" t="s">
        <v>586</v>
      </c>
      <c r="H6" s="1" t="str">
        <f t="shared" ca="1" si="3"/>
        <v>rightUp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0"/>
        <v>rightUp</v>
      </c>
      <c r="L6" s="1"/>
      <c r="M6" s="1"/>
      <c r="N6" s="14" t="str">
        <f t="shared" ca="1" si="5"/>
        <v>MovieClipSub * rightUp;</v>
      </c>
      <c r="O6" s="14" t="str">
        <f t="shared" ca="1" si="1"/>
        <v>rightUp= this-&gt;createMovieClipSub("rightUp");</v>
      </c>
    </row>
    <row r="7" spans="1:24" x14ac:dyDescent="0.25">
      <c r="A7" s="1" t="s">
        <v>330</v>
      </c>
      <c r="B7" s="1" t="s">
        <v>714</v>
      </c>
      <c r="C7" s="1">
        <f t="shared" ca="1" si="2"/>
        <v>0</v>
      </c>
      <c r="D7" s="1" t="s">
        <v>316</v>
      </c>
      <c r="E7" s="1" t="s">
        <v>708</v>
      </c>
      <c r="F7" s="1" t="s">
        <v>705</v>
      </c>
      <c r="G7" s="21" t="s">
        <v>587</v>
      </c>
      <c r="H7" s="1" t="str">
        <f t="shared" ca="1" si="3"/>
        <v>MiddleScreenCentr_mc</v>
      </c>
      <c r="I7" s="1" t="str">
        <f ca="1">IF(C7&lt;2,"this",IF(C7=C6,I6,IF(C7&gt;C6,H6, LOOKUP(1,0/(H$2:H6=I6),I$2:I7))))</f>
        <v>this</v>
      </c>
      <c r="J7" s="1" t="str">
        <f t="shared" si="4"/>
        <v>createMovieClip</v>
      </c>
      <c r="K7" s="1" t="str">
        <f t="shared" si="0"/>
        <v>MiddleScreenCentr_mc</v>
      </c>
      <c r="L7" s="1"/>
      <c r="M7" s="1"/>
      <c r="N7" s="14" t="str">
        <f t="shared" ca="1" si="5"/>
        <v/>
      </c>
      <c r="O7" s="14" t="str">
        <f t="shared" ca="1" si="1"/>
        <v>MiddleScreenCentr_mc::MiddleScreenCentr_mc:MovieClip("screen/","MiddleScreenCentr_mc","MiddleScreenCentr_mc"{)</v>
      </c>
    </row>
    <row r="8" spans="1:24" x14ac:dyDescent="0.25">
      <c r="A8" s="1" t="s">
        <v>262</v>
      </c>
      <c r="B8" s="1" t="s">
        <v>261</v>
      </c>
      <c r="C8" s="1">
        <f t="shared" ca="1" si="2"/>
        <v>0</v>
      </c>
      <c r="D8" s="1" t="s">
        <v>316</v>
      </c>
      <c r="E8" s="1"/>
      <c r="F8" s="1"/>
      <c r="G8" s="21" t="s">
        <v>587</v>
      </c>
      <c r="H8" s="1" t="str">
        <f t="shared" ca="1" si="3"/>
        <v>LevelsMenu_mc</v>
      </c>
      <c r="I8" s="1" t="str">
        <f ca="1">IF(C8&lt;2,"this",IF(C8=C7,I7,IF(C8&gt;C7,H7, LOOKUP(1,0/(H$2:H7=I7),I$2:I8))))</f>
        <v>this</v>
      </c>
      <c r="J8" s="1" t="str">
        <f t="shared" si="4"/>
        <v>createMovieClip</v>
      </c>
      <c r="K8" s="1" t="str">
        <f t="shared" si="0"/>
        <v>LevelsMenu_mc</v>
      </c>
      <c r="L8" s="1"/>
      <c r="M8" s="1"/>
      <c r="N8" s="14" t="str">
        <f t="shared" ca="1" si="5"/>
        <v/>
      </c>
      <c r="O8" s="14" t="str">
        <f t="shared" ca="1" si="1"/>
        <v>LevelsMenu_mc::LevelsMenu_mc:MovieClip("screen/","LevelsMenu_mc","LevelsMenu_mc"{)</v>
      </c>
    </row>
    <row r="9" spans="1:24" x14ac:dyDescent="0.25">
      <c r="A9" s="1" t="s">
        <v>262</v>
      </c>
      <c r="B9" s="3" t="s">
        <v>292</v>
      </c>
      <c r="C9" s="1">
        <f t="shared" ca="1" si="2"/>
        <v>1</v>
      </c>
      <c r="D9" s="1" t="s">
        <v>316</v>
      </c>
      <c r="E9" s="1"/>
      <c r="F9" s="1"/>
      <c r="G9" s="1" t="s">
        <v>616</v>
      </c>
      <c r="H9" s="1" t="str">
        <f t="shared" ca="1" si="3"/>
        <v>achieves</v>
      </c>
      <c r="I9" s="1" t="str">
        <f ca="1">IF(C9&lt;2,"this",IF(C9=C8,I8,IF(C9&gt;C8,H8, LOOKUP(1,0/(H$2:H8=I8),I$2:I9))))</f>
        <v>this</v>
      </c>
      <c r="J9" s="1" t="str">
        <f t="shared" si="4"/>
        <v>createMovieClipSub</v>
      </c>
      <c r="K9" s="1" t="str">
        <f t="shared" si="0"/>
        <v>achieves</v>
      </c>
      <c r="L9" s="1"/>
      <c r="M9" s="1"/>
      <c r="N9" s="14" t="str">
        <f t="shared" ca="1" si="5"/>
        <v>MovieClipSub * achieves;</v>
      </c>
      <c r="O9" s="14" t="str">
        <f t="shared" ca="1" si="1"/>
        <v>achieves= this-&gt;createMovieClipSub("achieves");</v>
      </c>
    </row>
    <row r="10" spans="1:24" x14ac:dyDescent="0.25">
      <c r="A10" s="1" t="s">
        <v>262</v>
      </c>
      <c r="B10" s="4" t="s">
        <v>322</v>
      </c>
      <c r="C10" s="1">
        <f t="shared" ca="1" si="2"/>
        <v>2</v>
      </c>
      <c r="D10" s="1" t="s">
        <v>316</v>
      </c>
      <c r="E10" s="1"/>
      <c r="F10" s="1"/>
      <c r="G10" s="1" t="s">
        <v>669</v>
      </c>
      <c r="H10" s="1" t="str">
        <f t="shared" ca="1" si="3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4"/>
        <v>createCase</v>
      </c>
      <c r="K10" s="1" t="str">
        <f t="shared" si="0"/>
        <v>achievesCase1</v>
      </c>
      <c r="L10" s="1"/>
      <c r="M10" s="1"/>
      <c r="N10" s="14" t="str">
        <f t="shared" ca="1" si="5"/>
        <v>MCCase * achievesAchievesCase1;</v>
      </c>
      <c r="O10" s="14" t="str">
        <f t="shared" ca="1" si="1"/>
        <v>achievesAchievesCase1= achieves-&gt;createCase("achievesCase1");</v>
      </c>
    </row>
    <row r="11" spans="1:24" x14ac:dyDescent="0.25">
      <c r="A11" s="1" t="s">
        <v>262</v>
      </c>
      <c r="B11" s="4" t="s">
        <v>323</v>
      </c>
      <c r="C11" s="1">
        <f t="shared" ca="1" si="2"/>
        <v>2</v>
      </c>
      <c r="D11" s="1" t="s">
        <v>316</v>
      </c>
      <c r="E11" s="1"/>
      <c r="F11" s="1"/>
      <c r="G11" s="1" t="s">
        <v>669</v>
      </c>
      <c r="H11" s="1" t="str">
        <f t="shared" ca="1" si="3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4"/>
        <v>createCase</v>
      </c>
      <c r="K11" s="1" t="str">
        <f t="shared" si="0"/>
        <v>achievesCase2</v>
      </c>
      <c r="L11" s="1"/>
      <c r="M11" s="1"/>
      <c r="N11" s="14" t="str">
        <f t="shared" ca="1" si="5"/>
        <v>MCCase * achievesAchievesCase2;</v>
      </c>
      <c r="O11" s="14" t="str">
        <f t="shared" ca="1" si="1"/>
        <v>achievesAchievesCase2= achieves-&gt;createCase("achievesCase2");</v>
      </c>
    </row>
    <row r="12" spans="1:24" x14ac:dyDescent="0.25">
      <c r="A12" s="1" t="s">
        <v>262</v>
      </c>
      <c r="B12" s="3" t="s">
        <v>293</v>
      </c>
      <c r="C12" s="1">
        <f t="shared" ca="1" si="2"/>
        <v>1</v>
      </c>
      <c r="D12" s="1" t="s">
        <v>316</v>
      </c>
      <c r="E12" s="1"/>
      <c r="F12" s="1"/>
      <c r="G12" s="1" t="s">
        <v>586</v>
      </c>
      <c r="H12" s="1" t="str">
        <f t="shared" ca="1" si="3"/>
        <v>back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createMovieClipSub</v>
      </c>
      <c r="K12" s="1" t="str">
        <f t="shared" si="0"/>
        <v>back</v>
      </c>
      <c r="L12" s="1"/>
      <c r="M12" s="1"/>
      <c r="N12" s="14" t="str">
        <f t="shared" ca="1" si="5"/>
        <v>MovieClipSub * back;</v>
      </c>
      <c r="O12" s="14" t="str">
        <f t="shared" ca="1" si="1"/>
        <v>back= this-&gt;createMovieClipSub("back");</v>
      </c>
    </row>
    <row r="13" spans="1:24" x14ac:dyDescent="0.25">
      <c r="A13" s="1" t="s">
        <v>262</v>
      </c>
      <c r="B13" s="4" t="s">
        <v>318</v>
      </c>
      <c r="C13" s="1">
        <f t="shared" ca="1" si="2"/>
        <v>2</v>
      </c>
      <c r="D13" s="1" t="s">
        <v>316</v>
      </c>
      <c r="E13" s="1"/>
      <c r="F13" s="1"/>
      <c r="G13" s="1" t="s">
        <v>670</v>
      </c>
      <c r="H13" s="1" t="str">
        <f t="shared" ca="1" si="3"/>
        <v>backBackCase</v>
      </c>
      <c r="I13" s="1" t="str">
        <f ca="1">IF(C13&lt;2,"this",IF(C13=C12,I12,IF(C13&gt;C12,H12, LOOKUP(1,0/(H$2:H12=I12),I$2:I13))))</f>
        <v>back</v>
      </c>
      <c r="J13" s="1" t="str">
        <f t="shared" si="4"/>
        <v>createCase</v>
      </c>
      <c r="K13" s="1" t="str">
        <f t="shared" si="0"/>
        <v>backCase</v>
      </c>
      <c r="L13" s="1"/>
      <c r="M13" s="1"/>
      <c r="N13" s="14" t="str">
        <f t="shared" ca="1" si="5"/>
        <v>MCCase * backBackCase;</v>
      </c>
      <c r="O13" s="14" t="str">
        <f t="shared" ca="1" si="1"/>
        <v>backBackCase= back-&gt;createCase("backCase");</v>
      </c>
    </row>
    <row r="14" spans="1:24" x14ac:dyDescent="0.25">
      <c r="A14" s="1" t="s">
        <v>262</v>
      </c>
      <c r="B14" s="3" t="s">
        <v>294</v>
      </c>
      <c r="C14" s="1">
        <f t="shared" ca="1" si="2"/>
        <v>1</v>
      </c>
      <c r="D14" s="1" t="s">
        <v>316</v>
      </c>
      <c r="E14" s="1"/>
      <c r="F14" s="1"/>
      <c r="G14" s="1" t="s">
        <v>586</v>
      </c>
      <c r="H14" s="1" t="str">
        <f t="shared" ca="1" si="3"/>
        <v>book</v>
      </c>
      <c r="I14" s="1" t="str">
        <f ca="1">IF(C14&lt;2,"this",IF(C14=C13,I13,IF(C14&gt;C13,H13, LOOKUP(1,0/(H$2:H13=I13),I$2:I14))))</f>
        <v>this</v>
      </c>
      <c r="J14" s="1" t="str">
        <f t="shared" si="4"/>
        <v>createMovieClipSub</v>
      </c>
      <c r="K14" s="1" t="str">
        <f t="shared" si="0"/>
        <v>book</v>
      </c>
      <c r="L14" s="1"/>
      <c r="M14" s="1"/>
      <c r="N14" s="14" t="str">
        <f t="shared" ca="1" si="5"/>
        <v>MovieClipSub * book;</v>
      </c>
      <c r="O14" s="14" t="str">
        <f t="shared" ca="1" si="1"/>
        <v>book= this-&gt;createMovieClipSub("book");</v>
      </c>
    </row>
    <row r="15" spans="1:24" x14ac:dyDescent="0.25">
      <c r="A15" s="1" t="s">
        <v>262</v>
      </c>
      <c r="B15" s="4" t="s">
        <v>320</v>
      </c>
      <c r="C15" s="1">
        <f t="shared" ca="1" si="2"/>
        <v>2</v>
      </c>
      <c r="D15" s="1" t="s">
        <v>316</v>
      </c>
      <c r="E15" s="1"/>
      <c r="F15" s="1"/>
      <c r="G15" s="1" t="s">
        <v>669</v>
      </c>
      <c r="H15" s="1" t="str">
        <f t="shared" ca="1" si="3"/>
        <v>bookBookCase1</v>
      </c>
      <c r="I15" s="1" t="str">
        <f ca="1">IF(C15&lt;2,"this",IF(C15=C14,I14,IF(C15&gt;C14,H14, LOOKUP(1,0/(H$2:H14=I14),I$2:I15))))</f>
        <v>book</v>
      </c>
      <c r="J15" s="1" t="str">
        <f t="shared" si="4"/>
        <v>createCase</v>
      </c>
      <c r="K15" s="1" t="str">
        <f t="shared" si="0"/>
        <v>bookCase1</v>
      </c>
      <c r="L15" s="1"/>
      <c r="M15" s="1"/>
      <c r="N15" s="14" t="str">
        <f t="shared" ca="1" si="5"/>
        <v>MCCase * bookBookCase1;</v>
      </c>
      <c r="O15" s="14" t="str">
        <f t="shared" ca="1" si="1"/>
        <v>bookBookCase1= book-&gt;createCase("bookCase1");</v>
      </c>
    </row>
    <row r="16" spans="1:24" x14ac:dyDescent="0.25">
      <c r="A16" s="1" t="s">
        <v>262</v>
      </c>
      <c r="B16" s="4" t="s">
        <v>321</v>
      </c>
      <c r="C16" s="1">
        <f t="shared" ca="1" si="2"/>
        <v>2</v>
      </c>
      <c r="D16" s="1" t="s">
        <v>316</v>
      </c>
      <c r="E16" s="1"/>
      <c r="F16" s="1"/>
      <c r="G16" s="1" t="s">
        <v>669</v>
      </c>
      <c r="H16" s="1" t="str">
        <f t="shared" ca="1" si="3"/>
        <v>bookBookCase2</v>
      </c>
      <c r="I16" s="1" t="str">
        <f ca="1">IF(C16&lt;2,"this",IF(C16=C15,I15,IF(C16&gt;C15,H15, LOOKUP(1,0/(H$2:H15=I15),I$2:I16))))</f>
        <v>book</v>
      </c>
      <c r="J16" s="1" t="str">
        <f t="shared" si="4"/>
        <v>createCase</v>
      </c>
      <c r="K16" s="1" t="str">
        <f t="shared" si="0"/>
        <v>bookCase2</v>
      </c>
      <c r="L16" s="1"/>
      <c r="M16" s="1"/>
      <c r="N16" s="14" t="str">
        <f t="shared" ca="1" si="5"/>
        <v>MCCase * bookBookCase2;</v>
      </c>
      <c r="O16" s="14" t="str">
        <f t="shared" ca="1" si="1"/>
        <v>bookBookCase2= book-&gt;createCase("bookCase2");</v>
      </c>
    </row>
    <row r="17" spans="1:15" x14ac:dyDescent="0.25">
      <c r="A17" s="1" t="s">
        <v>262</v>
      </c>
      <c r="B17" s="3" t="s">
        <v>295</v>
      </c>
      <c r="C17" s="1">
        <f t="shared" ca="1" si="2"/>
        <v>1</v>
      </c>
      <c r="D17" s="1" t="s">
        <v>316</v>
      </c>
      <c r="E17" s="1"/>
      <c r="F17" s="1"/>
      <c r="G17" s="1" t="s">
        <v>586</v>
      </c>
      <c r="H17" s="1" t="str">
        <f t="shared" ca="1" si="3"/>
        <v>btnMusic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 t="shared" si="0"/>
        <v>btnMusic</v>
      </c>
      <c r="L17" s="1"/>
      <c r="M17" s="1"/>
      <c r="N17" s="14" t="str">
        <f t="shared" ca="1" si="5"/>
        <v>MovieClipSub * btnMusic;</v>
      </c>
      <c r="O17" s="14" t="str">
        <f t="shared" ca="1" si="1"/>
        <v>btnMusic= this-&gt;createMovieClipSub("btnMusic");</v>
      </c>
    </row>
    <row r="18" spans="1:15" x14ac:dyDescent="0.25">
      <c r="A18" s="1" t="s">
        <v>262</v>
      </c>
      <c r="B18" s="4" t="s">
        <v>324</v>
      </c>
      <c r="C18" s="1">
        <f t="shared" ca="1" si="2"/>
        <v>2</v>
      </c>
      <c r="D18" s="1" t="s">
        <v>316</v>
      </c>
      <c r="E18" s="1"/>
      <c r="F18" s="1"/>
      <c r="G18" s="1" t="s">
        <v>669</v>
      </c>
      <c r="H18" s="1" t="str">
        <f t="shared" ca="1" si="3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4"/>
        <v>createCase</v>
      </c>
      <c r="K18" s="1" t="str">
        <f t="shared" si="0"/>
        <v>musicCase</v>
      </c>
      <c r="L18" s="1"/>
      <c r="M18" s="1"/>
      <c r="N18" s="14" t="str">
        <f t="shared" ca="1" si="5"/>
        <v>MCCase * btnMusicMusicCase;</v>
      </c>
      <c r="O18" s="14" t="str">
        <f t="shared" ca="1" si="1"/>
        <v>btnMusicMusicCase= btnMusic-&gt;createCase("musicCase");</v>
      </c>
    </row>
    <row r="19" spans="1:15" x14ac:dyDescent="0.25">
      <c r="A19" s="1" t="s">
        <v>262</v>
      </c>
      <c r="B19" s="3" t="s">
        <v>296</v>
      </c>
      <c r="C19" s="1">
        <f t="shared" ca="1" si="2"/>
        <v>1</v>
      </c>
      <c r="D19" s="1" t="s">
        <v>316</v>
      </c>
      <c r="E19" s="1"/>
      <c r="F19" s="1"/>
      <c r="G19" s="1" t="s">
        <v>586</v>
      </c>
      <c r="H19" s="1" t="str">
        <f t="shared" ca="1" si="3"/>
        <v>btnSound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 t="shared" si="0"/>
        <v>btnSound</v>
      </c>
      <c r="L19" s="1"/>
      <c r="M19" s="1"/>
      <c r="N19" s="14" t="str">
        <f t="shared" ca="1" si="5"/>
        <v>MovieClipSub * btnSound;</v>
      </c>
      <c r="O19" s="14" t="str">
        <f t="shared" ca="1" si="1"/>
        <v>btnSound= this-&gt;createMovieClipSub("btnSound");</v>
      </c>
    </row>
    <row r="20" spans="1:15" x14ac:dyDescent="0.25">
      <c r="A20" s="1" t="s">
        <v>262</v>
      </c>
      <c r="B20" s="4" t="s">
        <v>325</v>
      </c>
      <c r="C20" s="1">
        <f t="shared" ca="1" si="2"/>
        <v>2</v>
      </c>
      <c r="D20" s="1" t="s">
        <v>316</v>
      </c>
      <c r="E20" s="1"/>
      <c r="F20" s="1"/>
      <c r="G20" s="1" t="s">
        <v>669</v>
      </c>
      <c r="H20" s="1" t="str">
        <f t="shared" ca="1" si="3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4"/>
        <v>createCase</v>
      </c>
      <c r="K20" s="1" t="str">
        <f t="shared" si="0"/>
        <v>soundCase</v>
      </c>
      <c r="L20" s="1"/>
      <c r="M20" s="1"/>
      <c r="N20" s="14" t="str">
        <f t="shared" ca="1" si="5"/>
        <v>MCCase * btnSoundSoundCase;</v>
      </c>
      <c r="O20" s="14" t="str">
        <f t="shared" ca="1" si="1"/>
        <v>btnSoundSoundCase= btnSound-&gt;createCase("soundCase");</v>
      </c>
    </row>
    <row r="21" spans="1:15" x14ac:dyDescent="0.25">
      <c r="A21" s="1" t="s">
        <v>262</v>
      </c>
      <c r="B21" s="3" t="s">
        <v>297</v>
      </c>
      <c r="C21" s="1">
        <f t="shared" ca="1" si="2"/>
        <v>1</v>
      </c>
      <c r="D21" s="1" t="s">
        <v>316</v>
      </c>
      <c r="E21" s="1"/>
      <c r="F21" s="1"/>
      <c r="G21" s="1" t="s">
        <v>586</v>
      </c>
      <c r="H21" s="1" t="str">
        <f t="shared" ca="1" si="3"/>
        <v>freeStars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 t="shared" si="0"/>
        <v>freeStars</v>
      </c>
      <c r="L21" s="1"/>
      <c r="M21" s="1"/>
      <c r="N21" s="14" t="str">
        <f t="shared" ca="1" si="5"/>
        <v>MovieClipSub * freeStars;</v>
      </c>
      <c r="O21" s="14" t="str">
        <f t="shared" ca="1" si="1"/>
        <v>freeStars= this-&gt;createMovieClipSub("freeStars");</v>
      </c>
    </row>
    <row r="22" spans="1:15" x14ac:dyDescent="0.25">
      <c r="A22" s="1" t="s">
        <v>262</v>
      </c>
      <c r="B22" s="4" t="s">
        <v>80</v>
      </c>
      <c r="C22" s="1">
        <f t="shared" ca="1" si="2"/>
        <v>2</v>
      </c>
      <c r="D22" s="1" t="s">
        <v>316</v>
      </c>
      <c r="E22" s="1"/>
      <c r="F22" s="1"/>
      <c r="G22" s="1" t="s">
        <v>586</v>
      </c>
      <c r="H22" s="1" t="str">
        <f t="shared" ca="1" si="3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4"/>
        <v>createMovieClipSub</v>
      </c>
      <c r="K22" s="1" t="str">
        <f t="shared" si="0"/>
        <v>cont</v>
      </c>
      <c r="L22" s="1"/>
      <c r="M22" s="1"/>
      <c r="N22" s="14" t="str">
        <f t="shared" ca="1" si="5"/>
        <v>MovieClipSub * freeStarsCont;</v>
      </c>
      <c r="O22" s="14" t="str">
        <f t="shared" ca="1" si="1"/>
        <v>freeStarsCont= freeStars-&gt;createMovieClipSub("cont");</v>
      </c>
    </row>
    <row r="23" spans="1:15" x14ac:dyDescent="0.25">
      <c r="A23" s="1" t="s">
        <v>262</v>
      </c>
      <c r="B23" s="3" t="s">
        <v>327</v>
      </c>
      <c r="C23" s="1">
        <f t="shared" ca="1" si="2"/>
        <v>1</v>
      </c>
      <c r="D23" s="1" t="s">
        <v>316</v>
      </c>
      <c r="E23" s="1"/>
      <c r="F23" s="1"/>
      <c r="G23" s="1" t="s">
        <v>586</v>
      </c>
      <c r="H23" s="1" t="str">
        <f t="shared" ca="1" si="3"/>
        <v>level1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 t="shared" si="0"/>
        <v>level1</v>
      </c>
      <c r="L23" s="1"/>
      <c r="M23" s="1"/>
      <c r="N23" s="14" t="str">
        <f t="shared" ca="1" si="5"/>
        <v>MovieClipSub * level1;</v>
      </c>
      <c r="O23" s="14" t="str">
        <f t="shared" ca="1" si="1"/>
        <v>level1= this-&gt;createMovieClipSub("level1");</v>
      </c>
    </row>
    <row r="24" spans="1:15" x14ac:dyDescent="0.25">
      <c r="A24" s="1" t="s">
        <v>262</v>
      </c>
      <c r="B24" s="4" t="s">
        <v>328</v>
      </c>
      <c r="C24" s="1">
        <f t="shared" ca="1" si="2"/>
        <v>2</v>
      </c>
      <c r="D24" s="1" t="s">
        <v>316</v>
      </c>
      <c r="E24" s="1"/>
      <c r="F24" s="1"/>
      <c r="G24" s="1" t="s">
        <v>669</v>
      </c>
      <c r="H24" s="1" t="str">
        <f t="shared" ca="1" si="3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4"/>
        <v>createCase</v>
      </c>
      <c r="K24" s="1" t="str">
        <f t="shared" si="0"/>
        <v>levelCase</v>
      </c>
      <c r="L24" s="1"/>
      <c r="M24" s="1"/>
      <c r="N24" s="14" t="str">
        <f t="shared" ca="1" si="5"/>
        <v>MCCase * level1LevelCase;</v>
      </c>
      <c r="O24" s="14" t="str">
        <f t="shared" ca="1" si="1"/>
        <v>level1LevelCase= level1-&gt;createCase("levelCase");</v>
      </c>
    </row>
    <row r="25" spans="1:15" x14ac:dyDescent="0.25">
      <c r="A25" s="1" t="s">
        <v>262</v>
      </c>
      <c r="B25" s="3" t="s">
        <v>304</v>
      </c>
      <c r="C25" s="1">
        <f t="shared" ca="1" si="2"/>
        <v>1</v>
      </c>
      <c r="D25" s="1" t="s">
        <v>316</v>
      </c>
      <c r="E25" s="1"/>
      <c r="F25" s="1"/>
      <c r="G25" s="1" t="s">
        <v>586</v>
      </c>
      <c r="H25" s="1" t="str">
        <f t="shared" ca="1" si="3"/>
        <v>level2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 t="shared" si="0"/>
        <v>level2</v>
      </c>
      <c r="L25" s="1"/>
      <c r="M25" s="1"/>
      <c r="N25" s="14" t="str">
        <f t="shared" ca="1" si="5"/>
        <v>MovieClipSub * level2;</v>
      </c>
      <c r="O25" s="14" t="str">
        <f t="shared" ca="1" si="1"/>
        <v>level2= this-&gt;createMovieClipSub("level2");</v>
      </c>
    </row>
    <row r="26" spans="1:15" x14ac:dyDescent="0.25">
      <c r="A26" s="1" t="s">
        <v>262</v>
      </c>
      <c r="B26" s="4" t="s">
        <v>328</v>
      </c>
      <c r="C26" s="1">
        <f t="shared" ca="1" si="2"/>
        <v>2</v>
      </c>
      <c r="D26" s="1" t="s">
        <v>316</v>
      </c>
      <c r="E26" s="1"/>
      <c r="F26" s="1"/>
      <c r="G26" s="1" t="s">
        <v>669</v>
      </c>
      <c r="H26" s="1" t="str">
        <f t="shared" ca="1" si="3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4"/>
        <v>createCase</v>
      </c>
      <c r="K26" s="1" t="str">
        <f t="shared" si="0"/>
        <v>levelCase</v>
      </c>
      <c r="L26" s="1"/>
      <c r="M26" s="1"/>
      <c r="N26" s="14" t="str">
        <f t="shared" ca="1" si="5"/>
        <v>MCCase * level2LevelCase;</v>
      </c>
      <c r="O26" s="14" t="str">
        <f t="shared" ca="1" si="1"/>
        <v>level2LevelCase= level2-&gt;createCase("levelCase");</v>
      </c>
    </row>
    <row r="27" spans="1:15" x14ac:dyDescent="0.25">
      <c r="A27" s="1" t="s">
        <v>262</v>
      </c>
      <c r="B27" s="3" t="s">
        <v>305</v>
      </c>
      <c r="C27" s="1">
        <f t="shared" ca="1" si="2"/>
        <v>1</v>
      </c>
      <c r="D27" s="1" t="s">
        <v>316</v>
      </c>
      <c r="E27" s="1"/>
      <c r="F27" s="1"/>
      <c r="G27" s="1" t="s">
        <v>586</v>
      </c>
      <c r="H27" s="1" t="str">
        <f t="shared" ca="1" si="3"/>
        <v>level3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0"/>
        <v>level3</v>
      </c>
      <c r="L27" s="1"/>
      <c r="M27" s="1"/>
      <c r="N27" s="14" t="str">
        <f t="shared" ca="1" si="5"/>
        <v>MovieClipSub * level3;</v>
      </c>
      <c r="O27" s="14" t="str">
        <f t="shared" ca="1" si="1"/>
        <v>level3= this-&gt;createMovieClipSub("level3");</v>
      </c>
    </row>
    <row r="28" spans="1:15" x14ac:dyDescent="0.25">
      <c r="A28" s="1" t="s">
        <v>262</v>
      </c>
      <c r="B28" s="3" t="s">
        <v>306</v>
      </c>
      <c r="C28" s="1">
        <f t="shared" ca="1" si="2"/>
        <v>1</v>
      </c>
      <c r="D28" s="1" t="s">
        <v>316</v>
      </c>
      <c r="E28" s="1"/>
      <c r="F28" s="1"/>
      <c r="G28" s="1" t="s">
        <v>586</v>
      </c>
      <c r="H28" s="1" t="str">
        <f t="shared" ca="1" si="3"/>
        <v>level4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0"/>
        <v>level4</v>
      </c>
      <c r="L28" s="1"/>
      <c r="M28" s="1"/>
      <c r="N28" s="14" t="str">
        <f t="shared" ca="1" si="5"/>
        <v>MovieClipSub * level4;</v>
      </c>
      <c r="O28" s="14" t="str">
        <f t="shared" ca="1" si="1"/>
        <v>level4= this-&gt;createMovieClipSub("level4");</v>
      </c>
    </row>
    <row r="29" spans="1:15" x14ac:dyDescent="0.25">
      <c r="A29" s="1" t="s">
        <v>262</v>
      </c>
      <c r="B29" s="3" t="s">
        <v>307</v>
      </c>
      <c r="C29" s="1">
        <f t="shared" ca="1" si="2"/>
        <v>1</v>
      </c>
      <c r="D29" s="1" t="s">
        <v>316</v>
      </c>
      <c r="E29" s="1"/>
      <c r="F29" s="1"/>
      <c r="G29" s="1" t="s">
        <v>586</v>
      </c>
      <c r="H29" s="1" t="str">
        <f t="shared" ca="1" si="3"/>
        <v>level5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createMovieClipSub</v>
      </c>
      <c r="K29" s="1" t="str">
        <f t="shared" si="0"/>
        <v>level5</v>
      </c>
      <c r="L29" s="1"/>
      <c r="M29" s="1"/>
      <c r="N29" s="14" t="str">
        <f t="shared" ca="1" si="5"/>
        <v>MovieClipSub * level5;</v>
      </c>
      <c r="O29" s="14" t="str">
        <f t="shared" ca="1" si="1"/>
        <v>level5= this-&gt;createMovieClipSub("level5");</v>
      </c>
    </row>
    <row r="30" spans="1:15" x14ac:dyDescent="0.25">
      <c r="A30" s="1" t="s">
        <v>262</v>
      </c>
      <c r="B30" s="3" t="s">
        <v>308</v>
      </c>
      <c r="C30" s="1">
        <f t="shared" ca="1" si="2"/>
        <v>1</v>
      </c>
      <c r="D30" s="1" t="s">
        <v>316</v>
      </c>
      <c r="E30" s="1"/>
      <c r="F30" s="1"/>
      <c r="G30" s="1" t="s">
        <v>586</v>
      </c>
      <c r="H30" s="1" t="str">
        <f t="shared" ca="1" si="3"/>
        <v>level6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createMovieClipSub</v>
      </c>
      <c r="K30" s="1" t="str">
        <f t="shared" si="0"/>
        <v>level6</v>
      </c>
      <c r="L30" s="1"/>
      <c r="M30" s="1"/>
      <c r="N30" s="14" t="str">
        <f t="shared" ca="1" si="5"/>
        <v>MovieClipSub * level6;</v>
      </c>
      <c r="O30" s="14" t="str">
        <f t="shared" ca="1" si="1"/>
        <v>level6= this-&gt;createMovieClipSub("level6");</v>
      </c>
    </row>
    <row r="31" spans="1:15" x14ac:dyDescent="0.25">
      <c r="A31" s="1" t="s">
        <v>262</v>
      </c>
      <c r="B31" s="3" t="s">
        <v>309</v>
      </c>
      <c r="C31" s="1">
        <f t="shared" ca="1" si="2"/>
        <v>1</v>
      </c>
      <c r="D31" s="1" t="s">
        <v>316</v>
      </c>
      <c r="E31" s="1"/>
      <c r="F31" s="1"/>
      <c r="G31" s="1" t="s">
        <v>586</v>
      </c>
      <c r="H31" s="1" t="str">
        <f t="shared" ca="1" si="3"/>
        <v>level7</v>
      </c>
      <c r="I31" s="1" t="str">
        <f ca="1">IF(C31&lt;2,"this",IF(C31=C30,I30,IF(C31&gt;C30,H30, LOOKUP(1,0/(H$2:H30=I30),I$2:I31))))</f>
        <v>this</v>
      </c>
      <c r="J31" s="1" t="str">
        <f t="shared" si="4"/>
        <v>createMovieClipSub</v>
      </c>
      <c r="K31" s="1" t="str">
        <f t="shared" si="0"/>
        <v>level7</v>
      </c>
      <c r="L31" s="1"/>
      <c r="M31" s="1"/>
      <c r="N31" s="14" t="str">
        <f t="shared" ca="1" si="5"/>
        <v>MovieClipSub * level7;</v>
      </c>
      <c r="O31" s="14" t="str">
        <f t="shared" ca="1" si="1"/>
        <v>level7= this-&gt;createMovieClipSub("level7");</v>
      </c>
    </row>
    <row r="32" spans="1:15" x14ac:dyDescent="0.25">
      <c r="A32" s="1" t="s">
        <v>262</v>
      </c>
      <c r="B32" s="3" t="s">
        <v>310</v>
      </c>
      <c r="C32" s="1">
        <f t="shared" ca="1" si="2"/>
        <v>1</v>
      </c>
      <c r="D32" s="1" t="s">
        <v>316</v>
      </c>
      <c r="E32" s="1"/>
      <c r="F32" s="1"/>
      <c r="G32" s="1" t="s">
        <v>586</v>
      </c>
      <c r="H32" s="1" t="str">
        <f t="shared" ca="1" si="3"/>
        <v>level8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createMovieClipSub</v>
      </c>
      <c r="K32" s="1" t="str">
        <f t="shared" si="0"/>
        <v>level8</v>
      </c>
      <c r="L32" s="1"/>
      <c r="M32" s="1"/>
      <c r="N32" s="14" t="str">
        <f t="shared" ca="1" si="5"/>
        <v>MovieClipSub * level8;</v>
      </c>
      <c r="O32" s="14" t="str">
        <f t="shared" ca="1" si="1"/>
        <v>level8= this-&gt;createMovieClipSub("level8");</v>
      </c>
    </row>
    <row r="33" spans="1:15" x14ac:dyDescent="0.25">
      <c r="A33" s="1" t="s">
        <v>262</v>
      </c>
      <c r="B33" s="3" t="s">
        <v>311</v>
      </c>
      <c r="C33" s="1">
        <f t="shared" ca="1" si="2"/>
        <v>1</v>
      </c>
      <c r="D33" s="1" t="s">
        <v>316</v>
      </c>
      <c r="E33" s="1"/>
      <c r="F33" s="1"/>
      <c r="G33" s="1" t="s">
        <v>586</v>
      </c>
      <c r="H33" s="1" t="str">
        <f t="shared" ca="1" si="3"/>
        <v>level9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createMovieClipSub</v>
      </c>
      <c r="K33" s="1" t="str">
        <f t="shared" si="0"/>
        <v>level9</v>
      </c>
      <c r="L33" s="1"/>
      <c r="M33" s="1"/>
      <c r="N33" s="14" t="str">
        <f t="shared" ca="1" si="5"/>
        <v>MovieClipSub * level9;</v>
      </c>
      <c r="O33" s="14" t="str">
        <f t="shared" ca="1" si="1"/>
        <v>level9= this-&gt;createMovieClipSub("level9");</v>
      </c>
    </row>
    <row r="34" spans="1:15" x14ac:dyDescent="0.25">
      <c r="A34" s="1" t="s">
        <v>262</v>
      </c>
      <c r="B34" s="3" t="s">
        <v>298</v>
      </c>
      <c r="C34" s="1">
        <f t="shared" ca="1" si="2"/>
        <v>1</v>
      </c>
      <c r="D34" s="1" t="s">
        <v>316</v>
      </c>
      <c r="E34" s="1"/>
      <c r="F34" s="1"/>
      <c r="G34" s="1" t="s">
        <v>586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4"/>
        <v>createMovieClipSub</v>
      </c>
      <c r="K34" s="1" t="str">
        <f t="shared" si="0"/>
        <v>level10</v>
      </c>
      <c r="L34" s="1"/>
      <c r="M34" s="1"/>
      <c r="N34" s="14" t="str">
        <f t="shared" ca="1" si="5"/>
        <v>MovieClipSub * level10;</v>
      </c>
      <c r="O34" s="14" t="str">
        <f t="shared" ca="1" si="1"/>
        <v>level10= this-&gt;createMovieClipSub("level10");</v>
      </c>
    </row>
    <row r="35" spans="1:15" x14ac:dyDescent="0.25">
      <c r="A35" s="1" t="s">
        <v>262</v>
      </c>
      <c r="B35" s="3" t="s">
        <v>299</v>
      </c>
      <c r="C35" s="1">
        <f t="shared" ca="1" si="2"/>
        <v>1</v>
      </c>
      <c r="D35" s="1" t="s">
        <v>316</v>
      </c>
      <c r="E35" s="1"/>
      <c r="F35" s="1"/>
      <c r="G35" s="1" t="s">
        <v>586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createMovieClipSub</v>
      </c>
      <c r="K35" s="1" t="str">
        <f t="shared" si="0"/>
        <v>level11</v>
      </c>
      <c r="L35" s="1"/>
      <c r="M35" s="1"/>
      <c r="N35" s="14" t="str">
        <f t="shared" ca="1" si="5"/>
        <v>MovieClipSub * level11;</v>
      </c>
      <c r="O35" s="14" t="str">
        <f t="shared" ca="1" si="1"/>
        <v>level11= this-&gt;createMovieClipSub("level11");</v>
      </c>
    </row>
    <row r="36" spans="1:15" x14ac:dyDescent="0.25">
      <c r="A36" s="1" t="s">
        <v>262</v>
      </c>
      <c r="B36" s="3" t="s">
        <v>300</v>
      </c>
      <c r="C36" s="1">
        <f t="shared" ca="1" si="2"/>
        <v>1</v>
      </c>
      <c r="D36" s="1" t="s">
        <v>316</v>
      </c>
      <c r="E36" s="1"/>
      <c r="F36" s="1"/>
      <c r="G36" s="1" t="s">
        <v>586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createMovieClipSub</v>
      </c>
      <c r="K36" s="1" t="str">
        <f t="shared" si="0"/>
        <v>level12</v>
      </c>
      <c r="L36" s="1"/>
      <c r="M36" s="1"/>
      <c r="N36" s="14" t="str">
        <f t="shared" ca="1" si="5"/>
        <v>MovieClipSub * level12;</v>
      </c>
      <c r="O36" s="14" t="str">
        <f t="shared" ca="1" si="1"/>
        <v>level12= this-&gt;createMovieClipSub("level12");</v>
      </c>
    </row>
    <row r="37" spans="1:15" x14ac:dyDescent="0.25">
      <c r="A37" s="1" t="s">
        <v>262</v>
      </c>
      <c r="B37" s="3" t="s">
        <v>301</v>
      </c>
      <c r="C37" s="1">
        <f t="shared" ca="1" si="2"/>
        <v>1</v>
      </c>
      <c r="D37" s="1" t="s">
        <v>316</v>
      </c>
      <c r="E37" s="1"/>
      <c r="F37" s="1"/>
      <c r="G37" s="1" t="s">
        <v>586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4"/>
        <v>createMovieClipSub</v>
      </c>
      <c r="K37" s="1" t="str">
        <f t="shared" si="0"/>
        <v>level13</v>
      </c>
      <c r="L37" s="1"/>
      <c r="M37" s="1"/>
      <c r="N37" s="14" t="str">
        <f t="shared" ca="1" si="5"/>
        <v>MovieClipSub * level13;</v>
      </c>
      <c r="O37" s="14" t="str">
        <f t="shared" ca="1" si="1"/>
        <v>level13= this-&gt;createMovieClipSub("level13");</v>
      </c>
    </row>
    <row r="38" spans="1:15" x14ac:dyDescent="0.25">
      <c r="A38" s="1" t="s">
        <v>262</v>
      </c>
      <c r="B38" s="3" t="s">
        <v>302</v>
      </c>
      <c r="C38" s="1">
        <f t="shared" ca="1" si="2"/>
        <v>1</v>
      </c>
      <c r="D38" s="1" t="s">
        <v>316</v>
      </c>
      <c r="E38" s="1"/>
      <c r="F38" s="1"/>
      <c r="G38" s="1" t="s">
        <v>586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createMovieClipSub</v>
      </c>
      <c r="K38" s="1" t="str">
        <f t="shared" si="0"/>
        <v>level14</v>
      </c>
      <c r="L38" s="1"/>
      <c r="M38" s="1"/>
      <c r="N38" s="14" t="str">
        <f t="shared" ca="1" si="5"/>
        <v>MovieClipSub * level14;</v>
      </c>
      <c r="O38" s="14" t="str">
        <f t="shared" ca="1" si="1"/>
        <v>level14= this-&gt;createMovieClipSub("level14");</v>
      </c>
    </row>
    <row r="39" spans="1:15" x14ac:dyDescent="0.25">
      <c r="A39" s="1" t="s">
        <v>262</v>
      </c>
      <c r="B39" s="3" t="s">
        <v>303</v>
      </c>
      <c r="C39" s="1">
        <f t="shared" ca="1" si="2"/>
        <v>1</v>
      </c>
      <c r="D39" s="1" t="s">
        <v>316</v>
      </c>
      <c r="E39" s="1"/>
      <c r="F39" s="1"/>
      <c r="G39" s="1" t="s">
        <v>586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createMovieClipSub</v>
      </c>
      <c r="K39" s="1" t="str">
        <f t="shared" si="0"/>
        <v>level15</v>
      </c>
      <c r="L39" s="1"/>
      <c r="M39" s="1"/>
      <c r="N39" s="14" t="str">
        <f t="shared" ca="1" si="5"/>
        <v>MovieClipSub * level15;</v>
      </c>
      <c r="O39" s="14" t="str">
        <f t="shared" ca="1" si="1"/>
        <v>level15= this-&gt;createMovieClipSub("level15");</v>
      </c>
    </row>
    <row r="40" spans="1:15" x14ac:dyDescent="0.25">
      <c r="A40" s="1" t="s">
        <v>262</v>
      </c>
      <c r="B40" s="3" t="s">
        <v>312</v>
      </c>
      <c r="C40" s="1">
        <f t="shared" ca="1" si="2"/>
        <v>1</v>
      </c>
      <c r="D40" s="1" t="s">
        <v>316</v>
      </c>
      <c r="E40" s="1"/>
      <c r="F40" s="1"/>
      <c r="G40" s="1" t="s">
        <v>586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4"/>
        <v>createMovieClipSub</v>
      </c>
      <c r="K40" s="1" t="str">
        <f t="shared" si="0"/>
        <v>road</v>
      </c>
      <c r="L40" s="1"/>
      <c r="M40" s="1"/>
      <c r="N40" s="14" t="str">
        <f t="shared" ca="1" si="5"/>
        <v>MovieClipSub * road;</v>
      </c>
      <c r="O40" s="14" t="str">
        <f t="shared" ca="1" si="1"/>
        <v>road= this-&gt;createMovieClipSub("road");</v>
      </c>
    </row>
    <row r="41" spans="1:15" x14ac:dyDescent="0.25">
      <c r="A41" s="1" t="s">
        <v>262</v>
      </c>
      <c r="B41" s="3" t="s">
        <v>313</v>
      </c>
      <c r="C41" s="1">
        <f t="shared" ca="1" si="2"/>
        <v>1</v>
      </c>
      <c r="D41" s="1" t="s">
        <v>316</v>
      </c>
      <c r="E41" s="1"/>
      <c r="F41" s="1"/>
      <c r="G41" s="1" t="s">
        <v>586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createMovieClipSub</v>
      </c>
      <c r="K41" s="1" t="str">
        <f t="shared" si="0"/>
        <v>upgrades</v>
      </c>
      <c r="L41" s="1"/>
      <c r="M41" s="1"/>
      <c r="N41" s="14" t="str">
        <f t="shared" ca="1" si="5"/>
        <v>MovieClipSub * upgrades;</v>
      </c>
      <c r="O41" s="14" t="str">
        <f t="shared" ca="1" si="1"/>
        <v>upgrades= this-&gt;createMovieClipSub("upgrades");</v>
      </c>
    </row>
    <row r="42" spans="1:15" x14ac:dyDescent="0.25">
      <c r="A42" s="1" t="s">
        <v>262</v>
      </c>
      <c r="B42" s="4" t="s">
        <v>317</v>
      </c>
      <c r="C42" s="1">
        <f t="shared" ca="1" si="2"/>
        <v>2</v>
      </c>
      <c r="D42" s="1" t="s">
        <v>316</v>
      </c>
      <c r="E42" s="1"/>
      <c r="F42" s="1"/>
      <c r="G42" s="1" t="s">
        <v>669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4"/>
        <v>createCase</v>
      </c>
      <c r="K42" s="1" t="str">
        <f t="shared" si="0"/>
        <v>upgradesCase1</v>
      </c>
      <c r="L42" s="1"/>
      <c r="M42" s="1"/>
      <c r="N42" s="14" t="str">
        <f t="shared" ca="1" si="5"/>
        <v>MCCase * upgradesUpgradesCase1;</v>
      </c>
      <c r="O42" s="14" t="str">
        <f t="shared" ca="1" si="1"/>
        <v>upgradesUpgradesCase1= upgrades-&gt;createCase("upgradesCase1");</v>
      </c>
    </row>
    <row r="43" spans="1:15" x14ac:dyDescent="0.25">
      <c r="A43" s="1" t="s">
        <v>262</v>
      </c>
      <c r="B43" s="4" t="s">
        <v>319</v>
      </c>
      <c r="C43" s="1">
        <f t="shared" ca="1" si="2"/>
        <v>2</v>
      </c>
      <c r="D43" s="1" t="s">
        <v>316</v>
      </c>
      <c r="E43" s="1"/>
      <c r="F43" s="1"/>
      <c r="G43" s="1" t="s">
        <v>669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4"/>
        <v>createCase</v>
      </c>
      <c r="K43" s="1" t="str">
        <f t="shared" si="0"/>
        <v>upgradesCase2</v>
      </c>
      <c r="L43" s="1"/>
      <c r="M43" s="1"/>
      <c r="N43" s="14" t="str">
        <f t="shared" ca="1" si="5"/>
        <v>MCCase * upgradesUpgradesCase2;</v>
      </c>
      <c r="O43" s="14" t="str">
        <f t="shared" ca="1" si="1"/>
        <v>upgradesUpgradesCase2= upgrades-&gt;createCase("upgradesCase2");</v>
      </c>
    </row>
    <row r="44" spans="1:15" x14ac:dyDescent="0.25">
      <c r="A44" s="1" t="s">
        <v>262</v>
      </c>
      <c r="B44" s="4" t="s">
        <v>326</v>
      </c>
      <c r="C44" s="1">
        <f t="shared" ca="1" si="2"/>
        <v>2</v>
      </c>
      <c r="D44" s="1" t="s">
        <v>316</v>
      </c>
      <c r="E44" s="1"/>
      <c r="F44" s="1"/>
      <c r="G44" s="1" t="s">
        <v>586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4"/>
        <v>createMovieClipSub</v>
      </c>
      <c r="K44" s="1" t="str">
        <f t="shared" si="0"/>
        <v>fireCont</v>
      </c>
      <c r="L44" s="1"/>
      <c r="M44" s="1"/>
      <c r="N44" s="14" t="str">
        <f t="shared" ca="1" si="5"/>
        <v>MovieClipSub * upgradesFireCont;</v>
      </c>
      <c r="O44" s="14" t="str">
        <f t="shared" ca="1" si="1"/>
        <v>upgradesFireCont= upgrades-&gt;createMovieClipSub("fireCont");</v>
      </c>
    </row>
    <row r="45" spans="1:15" x14ac:dyDescent="0.25">
      <c r="A45" s="1" t="s">
        <v>262</v>
      </c>
      <c r="B45" s="3" t="s">
        <v>314</v>
      </c>
      <c r="C45" s="1">
        <f t="shared" ca="1" si="2"/>
        <v>1</v>
      </c>
      <c r="D45" s="1" t="s">
        <v>316</v>
      </c>
      <c r="E45" s="1"/>
      <c r="F45" s="1"/>
      <c r="G45" s="1" t="s">
        <v>586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createMovieClipSub</v>
      </c>
      <c r="K45" s="1" t="str">
        <f t="shared" si="0"/>
        <v>wavesAnimation</v>
      </c>
      <c r="L45" s="1"/>
      <c r="M45" s="1"/>
      <c r="N45" s="14" t="str">
        <f t="shared" ca="1" si="5"/>
        <v>MovieClipSub * wavesAnimation;</v>
      </c>
      <c r="O45" s="14" t="str">
        <f t="shared" ca="1" si="1"/>
        <v>wavesAnimation= this-&gt;createMovieClipSub("wavesAnimation");</v>
      </c>
    </row>
    <row r="46" spans="1:15" x14ac:dyDescent="0.25">
      <c r="A46" s="1" t="s">
        <v>262</v>
      </c>
      <c r="B46" s="1" t="s">
        <v>315</v>
      </c>
      <c r="C46" s="1">
        <f t="shared" ca="1" si="2"/>
        <v>0</v>
      </c>
      <c r="D46" s="1" t="s">
        <v>316</v>
      </c>
      <c r="E46" s="1"/>
      <c r="F46" s="1"/>
      <c r="G46" s="21" t="s">
        <v>587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0"/>
        <v>NewLevel_mc</v>
      </c>
      <c r="L46" s="1"/>
      <c r="M46" s="1"/>
      <c r="N46" s="14" t="str">
        <f t="shared" ca="1" si="5"/>
        <v/>
      </c>
      <c r="O46" s="14" t="str">
        <f t="shared" ca="1" si="1"/>
        <v>NewLevel_mc::NewLevel_mc:MovieClip("screen/","NewLevel_mc","NewLevel_mc"{)</v>
      </c>
    </row>
    <row r="47" spans="1:15" x14ac:dyDescent="0.25">
      <c r="A47" s="1" t="s">
        <v>337</v>
      </c>
      <c r="B47" s="1" t="s">
        <v>335</v>
      </c>
      <c r="C47" s="1">
        <f t="shared" ca="1" si="2"/>
        <v>0</v>
      </c>
      <c r="D47" s="1" t="s">
        <v>316</v>
      </c>
      <c r="E47" s="1"/>
      <c r="F47" s="1"/>
      <c r="G47" s="21" t="s">
        <v>587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0"/>
        <v>HintSurvival_mc</v>
      </c>
      <c r="L47" s="1"/>
      <c r="M47" s="1"/>
      <c r="N47" s="14" t="str">
        <f t="shared" ca="1" si="5"/>
        <v/>
      </c>
      <c r="O47" s="14" t="str">
        <f t="shared" ca="1" si="1"/>
        <v>HintSurvival_mc::HintSurvival_mc:MovieClip("screen/","HintSurvival_mc","HintSurvival_mc"{)</v>
      </c>
    </row>
    <row r="48" spans="1:15" x14ac:dyDescent="0.25">
      <c r="A48" s="1" t="s">
        <v>337</v>
      </c>
      <c r="B48" s="3" t="s">
        <v>104</v>
      </c>
      <c r="C48" s="1">
        <f t="shared" ca="1" si="2"/>
        <v>1</v>
      </c>
      <c r="D48" s="1" t="s">
        <v>316</v>
      </c>
      <c r="E48" s="1"/>
      <c r="F48" s="1"/>
      <c r="G48" s="1" t="s">
        <v>671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4"/>
        <v>createText</v>
      </c>
      <c r="K48" s="1" t="str">
        <f t="shared" si="0"/>
        <v>nameTXT</v>
      </c>
      <c r="L48" s="1"/>
      <c r="M48" s="1"/>
      <c r="N48" s="14" t="str">
        <f t="shared" ca="1" si="5"/>
        <v>MCText * nameTXT;</v>
      </c>
      <c r="O48" s="14" t="str">
        <f t="shared" ca="1" si="1"/>
        <v>nameTXT= this-&gt;createText("nameTXT");</v>
      </c>
    </row>
    <row r="49" spans="1:15" x14ac:dyDescent="0.25">
      <c r="A49" s="1" t="s">
        <v>337</v>
      </c>
      <c r="B49" s="3" t="s">
        <v>154</v>
      </c>
      <c r="C49" s="1">
        <f t="shared" ca="1" si="2"/>
        <v>1</v>
      </c>
      <c r="D49" s="1" t="s">
        <v>316</v>
      </c>
      <c r="E49" s="1"/>
      <c r="F49" s="1"/>
      <c r="G49" s="1" t="s">
        <v>671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4"/>
        <v>createText</v>
      </c>
      <c r="K49" s="1" t="str">
        <f t="shared" si="0"/>
        <v>noteTXT</v>
      </c>
      <c r="L49" s="1"/>
      <c r="M49" s="1"/>
      <c r="N49" s="14" t="str">
        <f t="shared" ca="1" si="5"/>
        <v>MCText * noteTXT;</v>
      </c>
      <c r="O49" s="14" t="str">
        <f t="shared" ca="1" si="1"/>
        <v>noteTXT= this-&gt;createText("noteTXT");</v>
      </c>
    </row>
    <row r="50" spans="1:15" x14ac:dyDescent="0.25">
      <c r="A50" s="1" t="s">
        <v>337</v>
      </c>
      <c r="B50" s="1" t="s">
        <v>336</v>
      </c>
      <c r="C50" s="1">
        <f t="shared" ca="1" si="2"/>
        <v>0</v>
      </c>
      <c r="D50" s="1" t="s">
        <v>316</v>
      </c>
      <c r="E50" s="1"/>
      <c r="F50" s="1"/>
      <c r="G50" s="21" t="s">
        <v>587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0"/>
        <v>OpenLevel_mc</v>
      </c>
      <c r="L50" s="1"/>
      <c r="M50" s="1"/>
      <c r="N50" s="14" t="str">
        <f t="shared" ca="1" si="5"/>
        <v/>
      </c>
      <c r="O50" s="14" t="str">
        <f t="shared" ca="1" si="1"/>
        <v>OpenLevel_mc::OpenLevel_mc:MovieClip("screen/","OpenLevel_mc","OpenLevel_mc"{)</v>
      </c>
    </row>
    <row r="51" spans="1:15" x14ac:dyDescent="0.25">
      <c r="A51" s="1" t="s">
        <v>337</v>
      </c>
      <c r="B51" s="3" t="s">
        <v>293</v>
      </c>
      <c r="C51" s="1">
        <f t="shared" ca="1" si="2"/>
        <v>1</v>
      </c>
      <c r="D51" s="1" t="s">
        <v>316</v>
      </c>
      <c r="E51" s="1"/>
      <c r="F51" s="1"/>
      <c r="G51" s="1" t="s">
        <v>586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createMovieClipSub</v>
      </c>
      <c r="K51" s="1" t="str">
        <f t="shared" si="0"/>
        <v>back</v>
      </c>
      <c r="L51" s="1"/>
      <c r="M51" s="1"/>
      <c r="N51" s="14" t="str">
        <f t="shared" ca="1" si="5"/>
        <v>MovieClipSub * back;</v>
      </c>
      <c r="O51" s="14" t="str">
        <f t="shared" ca="1" si="1"/>
        <v>back= this-&gt;createMovieClipSub("back");</v>
      </c>
    </row>
    <row r="52" spans="1:15" x14ac:dyDescent="0.25">
      <c r="A52" s="1" t="s">
        <v>337</v>
      </c>
      <c r="B52" s="4" t="s">
        <v>318</v>
      </c>
      <c r="C52" s="1">
        <f t="shared" ca="1" si="2"/>
        <v>2</v>
      </c>
      <c r="D52" s="1" t="s">
        <v>316</v>
      </c>
      <c r="E52" s="1"/>
      <c r="F52" s="1"/>
      <c r="G52" s="1" t="s">
        <v>669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4"/>
        <v>createCase</v>
      </c>
      <c r="K52" s="1" t="str">
        <f t="shared" si="0"/>
        <v>backCase</v>
      </c>
      <c r="L52" s="1"/>
      <c r="M52" s="1"/>
      <c r="N52" s="14" t="str">
        <f t="shared" ca="1" si="5"/>
        <v>MCCase * backBackCase;</v>
      </c>
      <c r="O52" s="14" t="str">
        <f t="shared" ca="1" si="1"/>
        <v>backBackCase= back-&gt;createCase("backCase");</v>
      </c>
    </row>
    <row r="53" spans="1:15" x14ac:dyDescent="0.25">
      <c r="A53" s="1" t="s">
        <v>337</v>
      </c>
      <c r="B53" s="3" t="s">
        <v>338</v>
      </c>
      <c r="C53" s="1">
        <f t="shared" ca="1" si="2"/>
        <v>1</v>
      </c>
      <c r="D53" s="1" t="s">
        <v>316</v>
      </c>
      <c r="E53" s="1"/>
      <c r="F53" s="1"/>
      <c r="G53" s="1" t="s">
        <v>586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0"/>
        <v>board</v>
      </c>
      <c r="L53" s="1"/>
      <c r="M53" s="1"/>
      <c r="N53" s="14" t="str">
        <f t="shared" ca="1" si="5"/>
        <v>MovieClipSub * board;</v>
      </c>
      <c r="O53" s="14" t="str">
        <f t="shared" ca="1" si="1"/>
        <v>board= this-&gt;createMovieClipSub("board");</v>
      </c>
    </row>
    <row r="54" spans="1:15" x14ac:dyDescent="0.25">
      <c r="A54" s="1" t="s">
        <v>337</v>
      </c>
      <c r="B54" s="4" t="s">
        <v>339</v>
      </c>
      <c r="C54" s="1">
        <f t="shared" ca="1" si="2"/>
        <v>2</v>
      </c>
      <c r="D54" s="1" t="s">
        <v>316</v>
      </c>
      <c r="E54" s="1"/>
      <c r="F54" s="1"/>
      <c r="G54" s="1" t="s">
        <v>586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4"/>
        <v>createMovieClipSub</v>
      </c>
      <c r="K54" s="1" t="str">
        <f t="shared" si="0"/>
        <v>description</v>
      </c>
      <c r="L54" s="1"/>
      <c r="M54" s="1"/>
      <c r="N54" s="14" t="str">
        <f t="shared" ca="1" si="5"/>
        <v>MovieClipSub * boardDescription;</v>
      </c>
      <c r="O54" s="14" t="str">
        <f t="shared" ca="1" si="1"/>
        <v>boardDescription= board-&gt;createMovieClipSub("description");</v>
      </c>
    </row>
    <row r="55" spans="1:15" x14ac:dyDescent="0.25">
      <c r="A55" s="1" t="s">
        <v>337</v>
      </c>
      <c r="B55" s="4" t="s">
        <v>340</v>
      </c>
      <c r="C55" s="1">
        <f t="shared" ca="1" si="2"/>
        <v>2</v>
      </c>
      <c r="D55" s="1" t="s">
        <v>316</v>
      </c>
      <c r="E55" s="1"/>
      <c r="F55" s="1"/>
      <c r="G55" s="1" t="s">
        <v>586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4"/>
        <v>createMovieClipSub</v>
      </c>
      <c r="K55" s="1" t="str">
        <f t="shared" si="0"/>
        <v>infoAdd</v>
      </c>
      <c r="L55" s="1"/>
      <c r="M55" s="1"/>
      <c r="N55" s="14" t="str">
        <f t="shared" ca="1" si="5"/>
        <v>MovieClipSub * boardInfoAdd;</v>
      </c>
      <c r="O55" s="14" t="str">
        <f t="shared" ca="1" si="1"/>
        <v>boardInfoAdd= board-&gt;createMovieClipSub("infoAdd");</v>
      </c>
    </row>
    <row r="56" spans="1:15" x14ac:dyDescent="0.25">
      <c r="A56" s="1" t="s">
        <v>337</v>
      </c>
      <c r="B56" s="5" t="s">
        <v>341</v>
      </c>
      <c r="C56" s="1">
        <f t="shared" ca="1" si="2"/>
        <v>3</v>
      </c>
      <c r="D56" s="1" t="s">
        <v>316</v>
      </c>
      <c r="E56" s="1"/>
      <c r="F56" s="1"/>
      <c r="G56" s="1" t="s">
        <v>586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4"/>
        <v>createMovieClipSub</v>
      </c>
      <c r="K56" s="1" t="str">
        <f t="shared" si="0"/>
        <v>getSphere</v>
      </c>
      <c r="L56" s="1"/>
      <c r="M56" s="1"/>
      <c r="N56" s="14" t="str">
        <f t="shared" ca="1" si="5"/>
        <v>MovieClipSub * boardInfoAddGetSphere;</v>
      </c>
      <c r="O56" s="14" t="str">
        <f t="shared" ca="1" si="1"/>
        <v>boardInfoAddGetSphere= boardInfoAdd-&gt;createMovieClipSub("getSphere");</v>
      </c>
    </row>
    <row r="57" spans="1:15" x14ac:dyDescent="0.25">
      <c r="A57" s="1" t="s">
        <v>337</v>
      </c>
      <c r="B57" s="5" t="s">
        <v>357</v>
      </c>
      <c r="C57" s="1">
        <f t="shared" ca="1" si="2"/>
        <v>3</v>
      </c>
      <c r="D57" s="1" t="s">
        <v>316</v>
      </c>
      <c r="E57" s="1"/>
      <c r="F57" s="1"/>
      <c r="G57" s="1" t="s">
        <v>586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4"/>
        <v>createMovieClipSub</v>
      </c>
      <c r="K57" s="1" t="str">
        <f t="shared" si="0"/>
        <v>fireSphere</v>
      </c>
      <c r="L57" s="1"/>
      <c r="M57" s="1"/>
      <c r="N57" s="14" t="str">
        <f t="shared" ca="1" si="5"/>
        <v>MovieClipSub * boardInfoAddFireSphere;</v>
      </c>
      <c r="O57" s="14" t="str">
        <f t="shared" ca="1" si="1"/>
        <v>boardInfoAddFireSphere= boardInfoAdd-&gt;createMovieClipSub("fireSphere");</v>
      </c>
    </row>
    <row r="58" spans="1:15" x14ac:dyDescent="0.25">
      <c r="A58" s="1" t="s">
        <v>337</v>
      </c>
      <c r="B58" s="5" t="s">
        <v>342</v>
      </c>
      <c r="C58" s="1">
        <f t="shared" ca="1" si="2"/>
        <v>3</v>
      </c>
      <c r="D58" s="1" t="s">
        <v>316</v>
      </c>
      <c r="E58" s="1"/>
      <c r="F58" s="1"/>
      <c r="G58" s="1" t="s">
        <v>586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4"/>
        <v>createMovieClipSub</v>
      </c>
      <c r="K58" s="1" t="str">
        <f t="shared" si="0"/>
        <v>iceSphere</v>
      </c>
      <c r="L58" s="1"/>
      <c r="M58" s="1"/>
      <c r="N58" s="14" t="str">
        <f t="shared" ca="1" si="5"/>
        <v>MovieClipSub * boardInfoAddIceSphere;</v>
      </c>
      <c r="O58" s="14" t="str">
        <f t="shared" ca="1" si="1"/>
        <v>boardInfoAddIceSphere= boardInfoAdd-&gt;createMovieClipSub("iceSphere");</v>
      </c>
    </row>
    <row r="59" spans="1:15" x14ac:dyDescent="0.25">
      <c r="A59" s="1" t="s">
        <v>337</v>
      </c>
      <c r="B59" s="5" t="s">
        <v>343</v>
      </c>
      <c r="C59" s="1">
        <f t="shared" ca="1" si="2"/>
        <v>3</v>
      </c>
      <c r="D59" s="1" t="s">
        <v>316</v>
      </c>
      <c r="E59" s="1"/>
      <c r="F59" s="1"/>
      <c r="G59" s="1" t="s">
        <v>586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4"/>
        <v>createMovieClipSub</v>
      </c>
      <c r="K59" s="1" t="str">
        <f t="shared" si="0"/>
        <v>stoneSphere</v>
      </c>
      <c r="L59" s="1"/>
      <c r="M59" s="1"/>
      <c r="N59" s="14" t="str">
        <f t="shared" ca="1" si="5"/>
        <v>MovieClipSub * boardInfoAddStoneSphere;</v>
      </c>
      <c r="O59" s="14" t="str">
        <f t="shared" ca="1" si="1"/>
        <v>boardInfoAddStoneSphere= boardInfoAdd-&gt;createMovieClipSub("stoneSphere");</v>
      </c>
    </row>
    <row r="60" spans="1:15" x14ac:dyDescent="0.25">
      <c r="A60" s="1" t="s">
        <v>337</v>
      </c>
      <c r="B60" s="5" t="s">
        <v>344</v>
      </c>
      <c r="C60" s="1">
        <f t="shared" ca="1" si="2"/>
        <v>3</v>
      </c>
      <c r="D60" s="1" t="s">
        <v>316</v>
      </c>
      <c r="E60" s="1"/>
      <c r="F60" s="1"/>
      <c r="G60" s="1" t="s">
        <v>586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4"/>
        <v>createMovieClipSub</v>
      </c>
      <c r="K60" s="1" t="str">
        <f t="shared" si="0"/>
        <v>levinSphere</v>
      </c>
      <c r="L60" s="1"/>
      <c r="M60" s="1"/>
      <c r="N60" s="14" t="str">
        <f t="shared" ca="1" si="5"/>
        <v>MovieClipSub * boardInfoAddLevinSphere;</v>
      </c>
      <c r="O60" s="14" t="str">
        <f t="shared" ca="1" si="1"/>
        <v>boardInfoAddLevinSphere= boardInfoAdd-&gt;createMovieClipSub("levinSphere");</v>
      </c>
    </row>
    <row r="61" spans="1:15" x14ac:dyDescent="0.25">
      <c r="A61" s="1" t="s">
        <v>337</v>
      </c>
      <c r="B61" s="4" t="s">
        <v>345</v>
      </c>
      <c r="C61" s="1">
        <f t="shared" ca="1" si="2"/>
        <v>2</v>
      </c>
      <c r="D61" s="1" t="s">
        <v>316</v>
      </c>
      <c r="E61" s="1"/>
      <c r="F61" s="1"/>
      <c r="G61" s="1" t="s">
        <v>586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4"/>
        <v>createMovieClipSub</v>
      </c>
      <c r="K61" s="1" t="str">
        <f t="shared" si="0"/>
        <v>status</v>
      </c>
      <c r="L61" s="1"/>
      <c r="M61" s="1"/>
      <c r="N61" s="14" t="str">
        <f t="shared" ca="1" si="5"/>
        <v>MovieClipSub * boardStatus;</v>
      </c>
      <c r="O61" s="14" t="str">
        <f t="shared" ca="1" si="1"/>
        <v>boardStatus= board-&gt;createMovieClipSub("status");</v>
      </c>
    </row>
    <row r="62" spans="1:15" x14ac:dyDescent="0.25">
      <c r="A62" s="1" t="s">
        <v>337</v>
      </c>
      <c r="B62" s="4" t="s">
        <v>346</v>
      </c>
      <c r="C62" s="1">
        <f t="shared" ca="1" si="2"/>
        <v>2</v>
      </c>
      <c r="D62" s="1" t="s">
        <v>316</v>
      </c>
      <c r="E62" s="1"/>
      <c r="F62" s="1"/>
      <c r="G62" s="1" t="s">
        <v>586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4"/>
        <v>createMovieClipSub</v>
      </c>
      <c r="K62" s="1" t="str">
        <f t="shared" si="0"/>
        <v>map</v>
      </c>
      <c r="L62" s="1"/>
      <c r="M62" s="1"/>
      <c r="N62" s="14" t="str">
        <f t="shared" ca="1" si="5"/>
        <v>MovieClipSub * boardMap;</v>
      </c>
      <c r="O62" s="14" t="str">
        <f t="shared" ca="1" si="1"/>
        <v>boardMap= board-&gt;createMovieClipSub("map");</v>
      </c>
    </row>
    <row r="63" spans="1:15" x14ac:dyDescent="0.25">
      <c r="A63" s="1" t="s">
        <v>337</v>
      </c>
      <c r="B63" s="4" t="s">
        <v>347</v>
      </c>
      <c r="C63" s="1">
        <f t="shared" ca="1" si="2"/>
        <v>2</v>
      </c>
      <c r="D63" s="1" t="s">
        <v>316</v>
      </c>
      <c r="E63" s="1"/>
      <c r="F63" s="1"/>
      <c r="G63" s="1" t="s">
        <v>586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4"/>
        <v>createMovieClipSub</v>
      </c>
      <c r="K63" s="1" t="str">
        <f t="shared" si="0"/>
        <v>star1</v>
      </c>
      <c r="L63" s="1"/>
      <c r="M63" s="1"/>
      <c r="N63" s="14" t="str">
        <f t="shared" ca="1" si="5"/>
        <v>MovieClipSub * boardStar1;</v>
      </c>
      <c r="O63" s="14" t="str">
        <f t="shared" ca="1" si="1"/>
        <v>boardStar1= board-&gt;createMovieClipSub("star1");</v>
      </c>
    </row>
    <row r="64" spans="1:15" x14ac:dyDescent="0.25">
      <c r="A64" s="1" t="s">
        <v>337</v>
      </c>
      <c r="B64" s="4" t="s">
        <v>348</v>
      </c>
      <c r="C64" s="1">
        <f t="shared" ca="1" si="2"/>
        <v>2</v>
      </c>
      <c r="D64" s="1" t="s">
        <v>316</v>
      </c>
      <c r="E64" s="1"/>
      <c r="F64" s="1"/>
      <c r="G64" s="1" t="s">
        <v>586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4"/>
        <v>createMovieClipSub</v>
      </c>
      <c r="K64" s="1" t="str">
        <f t="shared" si="0"/>
        <v>star2</v>
      </c>
      <c r="L64" s="1"/>
      <c r="M64" s="1"/>
      <c r="N64" s="14" t="str">
        <f t="shared" ca="1" si="5"/>
        <v>MovieClipSub * boardStar2;</v>
      </c>
      <c r="O64" s="14" t="str">
        <f t="shared" ca="1" si="1"/>
        <v>boardStar2= board-&gt;createMovieClipSub("star2");</v>
      </c>
    </row>
    <row r="65" spans="1:15" x14ac:dyDescent="0.25">
      <c r="A65" s="1" t="s">
        <v>337</v>
      </c>
      <c r="B65" s="4" t="s">
        <v>349</v>
      </c>
      <c r="C65" s="1">
        <f t="shared" ca="1" si="2"/>
        <v>2</v>
      </c>
      <c r="D65" s="1" t="s">
        <v>316</v>
      </c>
      <c r="E65" s="1"/>
      <c r="F65" s="1"/>
      <c r="G65" s="1" t="s">
        <v>586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4"/>
        <v>createMovieClipSub</v>
      </c>
      <c r="K65" s="1" t="str">
        <f t="shared" si="0"/>
        <v>star3</v>
      </c>
      <c r="L65" s="1"/>
      <c r="M65" s="1"/>
      <c r="N65" s="14" t="str">
        <f t="shared" ca="1" si="5"/>
        <v>MovieClipSub * boardStar3;</v>
      </c>
      <c r="O65" s="14" t="str">
        <f t="shared" ca="1" si="1"/>
        <v>boardStar3= board-&gt;createMovieClipSub("star3");</v>
      </c>
    </row>
    <row r="66" spans="1:15" x14ac:dyDescent="0.25">
      <c r="A66" s="1" t="s">
        <v>337</v>
      </c>
      <c r="B66" s="4" t="s">
        <v>350</v>
      </c>
      <c r="C66" s="1">
        <f t="shared" ca="1" si="2"/>
        <v>2</v>
      </c>
      <c r="D66" s="1" t="s">
        <v>316</v>
      </c>
      <c r="E66" s="1"/>
      <c r="F66" s="1"/>
      <c r="G66" s="1" t="s">
        <v>586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4"/>
        <v>createMovieClipSub</v>
      </c>
      <c r="K66" s="1" t="str">
        <f t="shared" ref="K66:K129" si="8">B66</f>
        <v>wreath</v>
      </c>
      <c r="L66" s="1"/>
      <c r="M66" s="1"/>
      <c r="N66" s="14" t="str">
        <f t="shared" ca="1" si="5"/>
        <v>MovieClipSub * boardWreath;</v>
      </c>
      <c r="O66" s="14" t="str">
        <f t="shared" ref="O66:O129" ca="1" si="9">IF(C66&gt;0,IF(G66="MovieClip",IF(M66&lt;&gt;"y",H66&amp;"= "&amp;I66&amp;"-&gt;"&amp;J66&amp;"("""&amp;B66&amp;""","""&amp;D66&amp;"/"","""&amp;L66&amp;""","""&amp;K66&amp;""")"&amp;";",
H66&amp;"= "&amp;"("&amp;K66&amp;"*)"&amp;I66&amp;"-&gt;"&amp;J66&amp;"("""&amp;B66&amp;""",new "&amp;K66&amp;"())"&amp;";"
),H66&amp;"= "&amp;I66&amp;"-&gt;"&amp;J66&amp;"("""&amp;K66&amp;""")"&amp;";"),IF(RIGHT(B66,3)&lt;&gt;"_mc",G66&amp;"("""&amp;D66&amp;""","""&amp;B66&amp;""","""&amp;K66&amp;"""{)",B66&amp;"::"&amp;B66&amp;":"&amp;G66&amp;"("""&amp;D66&amp;"/"","""&amp;B66&amp;""","""&amp;K66&amp;"""{)"))</f>
        <v>boardWreath= board-&gt;createMovieClipSub("wreath");</v>
      </c>
    </row>
    <row r="67" spans="1:15" x14ac:dyDescent="0.25">
      <c r="A67" s="1" t="s">
        <v>337</v>
      </c>
      <c r="B67" s="4" t="s">
        <v>351</v>
      </c>
      <c r="C67" s="1">
        <f t="shared" ref="C67:C130" ca="1" si="10">indent(B67)</f>
        <v>2</v>
      </c>
      <c r="D67" s="1" t="s">
        <v>316</v>
      </c>
      <c r="E67" s="1"/>
      <c r="F67" s="1"/>
      <c r="G67" s="1" t="s">
        <v>586</v>
      </c>
      <c r="H67" s="1" t="str">
        <f t="shared" ref="H67:H130" ca="1" si="11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2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4" t="str">
        <f t="shared" ca="1" si="5"/>
        <v>MovieClipSub * boardMainMode;</v>
      </c>
      <c r="O67" s="14" t="str">
        <f t="shared" ca="1" si="9"/>
        <v>boardMainMode= board-&gt;createMovieClipSub("mainMode");</v>
      </c>
    </row>
    <row r="68" spans="1:15" x14ac:dyDescent="0.25">
      <c r="A68" s="1" t="s">
        <v>337</v>
      </c>
      <c r="B68" s="5" t="s">
        <v>360</v>
      </c>
      <c r="C68" s="1">
        <f t="shared" ca="1" si="10"/>
        <v>3</v>
      </c>
      <c r="D68" s="1" t="s">
        <v>316</v>
      </c>
      <c r="E68" s="1"/>
      <c r="F68" s="1"/>
      <c r="G68" s="1" t="s">
        <v>669</v>
      </c>
      <c r="H68" s="1" t="str">
        <f t="shared" ca="1" si="11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2"/>
        <v>createCase</v>
      </c>
      <c r="K68" s="1" t="str">
        <f t="shared" si="8"/>
        <v>mainModeCase</v>
      </c>
      <c r="L68" s="1"/>
      <c r="M68" s="1"/>
      <c r="N68" s="14" t="str">
        <f t="shared" ref="N68:N131" ca="1" si="13">IF(C68&gt;0,G68 &amp; " * "&amp;H68 &amp;";","")</f>
        <v>MCCase * boardMainModeMainModeCase;</v>
      </c>
      <c r="O68" s="14" t="str">
        <f t="shared" ca="1" si="9"/>
        <v>boardMainModeMainModeCase= boardMainMode-&gt;createCase("mainModeCase");</v>
      </c>
    </row>
    <row r="69" spans="1:15" x14ac:dyDescent="0.25">
      <c r="A69" s="1" t="s">
        <v>337</v>
      </c>
      <c r="B69" s="4" t="s">
        <v>352</v>
      </c>
      <c r="C69" s="1">
        <f t="shared" ca="1" si="10"/>
        <v>2</v>
      </c>
      <c r="D69" s="1" t="s">
        <v>316</v>
      </c>
      <c r="E69" s="1"/>
      <c r="F69" s="1"/>
      <c r="G69" s="1" t="s">
        <v>586</v>
      </c>
      <c r="H69" s="1" t="str">
        <f t="shared" ca="1" si="11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2"/>
        <v>createMovieClipSub</v>
      </c>
      <c r="K69" s="1" t="str">
        <f t="shared" si="8"/>
        <v>survivalMode</v>
      </c>
      <c r="L69" s="1"/>
      <c r="M69" s="1"/>
      <c r="N69" s="14" t="str">
        <f t="shared" ca="1" si="13"/>
        <v>MovieClipSub * boardSurvivalMode;</v>
      </c>
      <c r="O69" s="14" t="str">
        <f t="shared" ca="1" si="9"/>
        <v>boardSurvivalMode= board-&gt;createMovieClipSub("survivalMode");</v>
      </c>
    </row>
    <row r="70" spans="1:15" x14ac:dyDescent="0.25">
      <c r="A70" s="1" t="s">
        <v>337</v>
      </c>
      <c r="B70" s="5" t="s">
        <v>356</v>
      </c>
      <c r="C70" s="1">
        <f t="shared" ca="1" si="10"/>
        <v>3</v>
      </c>
      <c r="D70" s="1" t="s">
        <v>316</v>
      </c>
      <c r="E70" s="1"/>
      <c r="F70" s="1"/>
      <c r="G70" s="1" t="s">
        <v>586</v>
      </c>
      <c r="H70" s="1" t="str">
        <f t="shared" ca="1" si="11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2"/>
        <v>createMovieClipSub</v>
      </c>
      <c r="K70" s="1" t="str">
        <f t="shared" si="8"/>
        <v>eyes1</v>
      </c>
      <c r="L70" s="1"/>
      <c r="M70" s="1"/>
      <c r="N70" s="14" t="str">
        <f t="shared" ca="1" si="13"/>
        <v>MovieClipSub * boardSurvivalModeEyes1;</v>
      </c>
      <c r="O70" s="14" t="str">
        <f t="shared" ca="1" si="9"/>
        <v>boardSurvivalModeEyes1= boardSurvivalMode-&gt;createMovieClipSub("eyes1");</v>
      </c>
    </row>
    <row r="71" spans="1:15" x14ac:dyDescent="0.25">
      <c r="A71" s="1" t="s">
        <v>337</v>
      </c>
      <c r="B71" s="5" t="s">
        <v>358</v>
      </c>
      <c r="C71" s="1">
        <f t="shared" ca="1" si="10"/>
        <v>3</v>
      </c>
      <c r="D71" s="1" t="s">
        <v>316</v>
      </c>
      <c r="E71" s="1"/>
      <c r="F71" s="1"/>
      <c r="G71" s="1" t="s">
        <v>669</v>
      </c>
      <c r="H71" s="1" t="str">
        <f t="shared" ca="1" si="11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2"/>
        <v>createCase</v>
      </c>
      <c r="K71" s="1" t="str">
        <f t="shared" si="8"/>
        <v>survivalModeCase</v>
      </c>
      <c r="L71" s="1"/>
      <c r="M71" s="1"/>
      <c r="N71" s="14" t="str">
        <f t="shared" ca="1" si="13"/>
        <v>MCCase * boardSurvivalModeSurvivalModeCase;</v>
      </c>
      <c r="O71" s="14" t="str">
        <f t="shared" ca="1" si="9"/>
        <v>boardSurvivalModeSurvivalModeCase= boardSurvivalMode-&gt;createCase("survivalModeCase");</v>
      </c>
    </row>
    <row r="72" spans="1:15" x14ac:dyDescent="0.25">
      <c r="A72" s="1" t="s">
        <v>337</v>
      </c>
      <c r="B72" s="4" t="s">
        <v>353</v>
      </c>
      <c r="C72" s="1">
        <f t="shared" ca="1" si="10"/>
        <v>2</v>
      </c>
      <c r="D72" s="1" t="s">
        <v>316</v>
      </c>
      <c r="E72" s="1"/>
      <c r="F72" s="1"/>
      <c r="G72" s="1" t="s">
        <v>586</v>
      </c>
      <c r="H72" s="1" t="str">
        <f t="shared" ca="1" si="11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2"/>
        <v>createMovieClipSub</v>
      </c>
      <c r="K72" s="1" t="str">
        <f t="shared" si="8"/>
        <v>currentComplexity</v>
      </c>
      <c r="L72" s="1"/>
      <c r="M72" s="1"/>
      <c r="N72" s="14" t="str">
        <f t="shared" ca="1" si="13"/>
        <v>MovieClipSub * boardCurrentComplexity;</v>
      </c>
      <c r="O72" s="14" t="str">
        <f t="shared" ca="1" si="9"/>
        <v>boardCurrentComplexity= board-&gt;createMovieClipSub("currentComplexity");</v>
      </c>
    </row>
    <row r="73" spans="1:15" x14ac:dyDescent="0.25">
      <c r="A73" s="1" t="s">
        <v>337</v>
      </c>
      <c r="B73" s="5" t="s">
        <v>111</v>
      </c>
      <c r="C73" s="1">
        <f t="shared" ca="1" si="10"/>
        <v>3</v>
      </c>
      <c r="D73" s="1" t="s">
        <v>316</v>
      </c>
      <c r="E73" s="1"/>
      <c r="F73" s="1"/>
      <c r="G73" s="1" t="s">
        <v>586</v>
      </c>
      <c r="H73" s="1" t="str">
        <f t="shared" ca="1" si="11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2"/>
        <v>createMovieClipSub</v>
      </c>
      <c r="K73" s="1" t="str">
        <f t="shared" si="8"/>
        <v>fire</v>
      </c>
      <c r="L73" s="1"/>
      <c r="M73" s="1"/>
      <c r="N73" s="14" t="str">
        <f t="shared" ca="1" si="13"/>
        <v>MovieClipSub * boardCurrentComplexityFire;</v>
      </c>
      <c r="O73" s="14" t="str">
        <f t="shared" ca="1" si="9"/>
        <v>boardCurrentComplexityFire= boardCurrentComplexity-&gt;createMovieClipSub("fire");</v>
      </c>
    </row>
    <row r="74" spans="1:15" x14ac:dyDescent="0.25">
      <c r="A74" s="1" t="s">
        <v>337</v>
      </c>
      <c r="B74" s="5" t="s">
        <v>355</v>
      </c>
      <c r="C74" s="1">
        <f t="shared" ca="1" si="10"/>
        <v>3</v>
      </c>
      <c r="D74" s="1" t="s">
        <v>316</v>
      </c>
      <c r="E74" s="1"/>
      <c r="F74" s="1"/>
      <c r="G74" s="1" t="s">
        <v>669</v>
      </c>
      <c r="H74" s="1" t="str">
        <f t="shared" ca="1" si="11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2"/>
        <v>createCase</v>
      </c>
      <c r="K74" s="1" t="str">
        <f t="shared" si="8"/>
        <v>complexityCase</v>
      </c>
      <c r="L74" s="1"/>
      <c r="M74" s="1"/>
      <c r="N74" s="14" t="str">
        <f t="shared" ca="1" si="13"/>
        <v>MCCase * boardCurrentComplexityComplexityCase;</v>
      </c>
      <c r="O74" s="14" t="str">
        <f t="shared" ca="1" si="9"/>
        <v>boardCurrentComplexityComplexityCase= boardCurrentComplexity-&gt;createCase("complexityCase");</v>
      </c>
    </row>
    <row r="75" spans="1:15" x14ac:dyDescent="0.25">
      <c r="A75" s="1" t="s">
        <v>337</v>
      </c>
      <c r="B75" s="4" t="s">
        <v>354</v>
      </c>
      <c r="C75" s="1">
        <f t="shared" ca="1" si="10"/>
        <v>2</v>
      </c>
      <c r="D75" s="1" t="s">
        <v>316</v>
      </c>
      <c r="E75" s="1"/>
      <c r="F75" s="1"/>
      <c r="G75" s="1" t="s">
        <v>586</v>
      </c>
      <c r="H75" s="1" t="str">
        <f t="shared" ca="1" si="11"/>
        <v>boardStart</v>
      </c>
      <c r="I75" s="1" t="str">
        <f ca="1">IF(C75&lt;2,"this",IF(C75=C74,I74,IF(C75&gt;C74,H74, LOOKUP(1,0/(H$2:H74=I74),I$2:I75))))</f>
        <v>board</v>
      </c>
      <c r="J75" s="1" t="str">
        <f t="shared" si="12"/>
        <v>createMovieClipSub</v>
      </c>
      <c r="K75" s="1" t="str">
        <f t="shared" si="8"/>
        <v>start</v>
      </c>
      <c r="L75" s="1"/>
      <c r="M75" s="1"/>
      <c r="N75" s="14" t="str">
        <f t="shared" ca="1" si="13"/>
        <v>MovieClipSub * boardStart;</v>
      </c>
      <c r="O75" s="14" t="str">
        <f t="shared" ca="1" si="9"/>
        <v>boardStart= board-&gt;createMovieClipSub("start");</v>
      </c>
    </row>
    <row r="76" spans="1:15" x14ac:dyDescent="0.25">
      <c r="A76" s="1" t="s">
        <v>337</v>
      </c>
      <c r="B76" s="4" t="s">
        <v>359</v>
      </c>
      <c r="C76" s="1">
        <f t="shared" ca="1" si="10"/>
        <v>2</v>
      </c>
      <c r="D76" s="1" t="s">
        <v>316</v>
      </c>
      <c r="E76" s="1"/>
      <c r="F76" s="1"/>
      <c r="G76" s="1" t="s">
        <v>671</v>
      </c>
      <c r="H76" s="1" t="str">
        <f t="shared" ca="1" si="11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2"/>
        <v>createText</v>
      </c>
      <c r="K76" s="1" t="str">
        <f t="shared" si="8"/>
        <v>headerTXT</v>
      </c>
      <c r="L76" s="1"/>
      <c r="M76" s="1"/>
      <c r="N76" s="14" t="str">
        <f t="shared" ca="1" si="13"/>
        <v>MCText * boardHeaderTXT;</v>
      </c>
      <c r="O76" s="14" t="str">
        <f t="shared" ca="1" si="9"/>
        <v>boardHeaderTXT= board-&gt;createText("headerTXT");</v>
      </c>
    </row>
    <row r="77" spans="1:15" x14ac:dyDescent="0.25">
      <c r="A77" s="1" t="s">
        <v>362</v>
      </c>
      <c r="B77" s="1" t="s">
        <v>361</v>
      </c>
      <c r="C77" s="1">
        <f t="shared" ca="1" si="10"/>
        <v>0</v>
      </c>
      <c r="D77" s="1" t="s">
        <v>316</v>
      </c>
      <c r="E77" s="1"/>
      <c r="F77" s="1"/>
      <c r="G77" s="21" t="s">
        <v>587</v>
      </c>
      <c r="H77" s="1" t="str">
        <f t="shared" ca="1" si="11"/>
        <v>PauseMenu_mc</v>
      </c>
      <c r="I77" s="1" t="str">
        <f ca="1">IF(C77&lt;2,"this",IF(C77=C76,I76,IF(C77&gt;C76,H76, LOOKUP(1,0/(H$2:H76=I76),I$2:I77))))</f>
        <v>this</v>
      </c>
      <c r="J77" s="1" t="str">
        <f t="shared" si="12"/>
        <v>createMovieClip</v>
      </c>
      <c r="K77" s="1" t="str">
        <f t="shared" si="8"/>
        <v>PauseMenu_mc</v>
      </c>
      <c r="L77" s="1"/>
      <c r="M77" s="1"/>
      <c r="N77" s="14" t="str">
        <f t="shared" ca="1" si="13"/>
        <v/>
      </c>
      <c r="O77" s="14" t="str">
        <f t="shared" ca="1" si="9"/>
        <v>PauseMenu_mc::PauseMenu_mc:MovieClip("screen/","PauseMenu_mc","PauseMenu_mc"{)</v>
      </c>
    </row>
    <row r="78" spans="1:15" x14ac:dyDescent="0.25">
      <c r="A78" s="1" t="s">
        <v>362</v>
      </c>
      <c r="B78" s="3" t="s">
        <v>364</v>
      </c>
      <c r="C78" s="1">
        <f t="shared" ca="1" si="10"/>
        <v>1</v>
      </c>
      <c r="D78" s="1" t="s">
        <v>316</v>
      </c>
      <c r="E78" s="1"/>
      <c r="F78" s="1"/>
      <c r="G78" s="1" t="s">
        <v>586</v>
      </c>
      <c r="H78" s="1" t="str">
        <f t="shared" ca="1" si="11"/>
        <v>shadow</v>
      </c>
      <c r="I78" s="1" t="str">
        <f ca="1">IF(C78&lt;2,"this",IF(C78=C77,I77,IF(C78&gt;C77,H77, LOOKUP(1,0/(H$2:H77=I77),I$2:I78))))</f>
        <v>this</v>
      </c>
      <c r="J78" s="1" t="str">
        <f t="shared" si="12"/>
        <v>createMovieClipSub</v>
      </c>
      <c r="K78" s="1" t="str">
        <f t="shared" si="8"/>
        <v>shadow</v>
      </c>
      <c r="L78" s="1"/>
      <c r="M78" s="1"/>
      <c r="N78" s="14" t="str">
        <f t="shared" ca="1" si="13"/>
        <v>MovieClipSub * shadow;</v>
      </c>
      <c r="O78" s="14" t="str">
        <f t="shared" ca="1" si="9"/>
        <v>shadow= this-&gt;createMovieClipSub("shadow");</v>
      </c>
    </row>
    <row r="79" spans="1:15" x14ac:dyDescent="0.25">
      <c r="A79" s="1" t="s">
        <v>362</v>
      </c>
      <c r="B79" s="3" t="s">
        <v>363</v>
      </c>
      <c r="C79" s="1">
        <f t="shared" ca="1" si="10"/>
        <v>1</v>
      </c>
      <c r="D79" s="1" t="s">
        <v>316</v>
      </c>
      <c r="E79" s="1"/>
      <c r="F79" s="1"/>
      <c r="G79" s="1" t="s">
        <v>586</v>
      </c>
      <c r="H79" s="1" t="str">
        <f t="shared" ca="1" si="11"/>
        <v>scroll</v>
      </c>
      <c r="I79" s="1" t="str">
        <f ca="1">IF(C79&lt;2,"this",IF(C79=C78,I78,IF(C79&gt;C78,H78, LOOKUP(1,0/(H$2:H78=I78),I$2:I79))))</f>
        <v>this</v>
      </c>
      <c r="J79" s="1" t="str">
        <f t="shared" si="12"/>
        <v>createMovieClipSub</v>
      </c>
      <c r="K79" s="1" t="str">
        <f t="shared" si="8"/>
        <v>scroll</v>
      </c>
      <c r="L79" s="1"/>
      <c r="M79" s="1"/>
      <c r="N79" s="14" t="str">
        <f t="shared" ca="1" si="13"/>
        <v>MovieClipSub * scroll;</v>
      </c>
      <c r="O79" s="14" t="str">
        <f t="shared" ca="1" si="9"/>
        <v>scroll= this-&gt;createMovieClipSub("scroll");</v>
      </c>
    </row>
    <row r="80" spans="1:15" x14ac:dyDescent="0.25">
      <c r="A80" s="1" t="s">
        <v>362</v>
      </c>
      <c r="B80" s="4" t="s">
        <v>295</v>
      </c>
      <c r="C80" s="1">
        <f t="shared" ca="1" si="10"/>
        <v>2</v>
      </c>
      <c r="D80" s="1" t="s">
        <v>316</v>
      </c>
      <c r="E80" s="1"/>
      <c r="F80" s="1"/>
      <c r="G80" s="1" t="s">
        <v>586</v>
      </c>
      <c r="H80" s="1" t="str">
        <f t="shared" ca="1" si="11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2"/>
        <v>createMovieClipSub</v>
      </c>
      <c r="K80" s="1" t="str">
        <f t="shared" si="8"/>
        <v>btnMusic</v>
      </c>
      <c r="L80" s="1"/>
      <c r="M80" s="1"/>
      <c r="N80" s="14" t="str">
        <f t="shared" ca="1" si="13"/>
        <v>MovieClipSub * scrollBtnMusic;</v>
      </c>
      <c r="O80" s="14" t="str">
        <f t="shared" ca="1" si="9"/>
        <v>scrollBtnMusic= scroll-&gt;createMovieClipSub("btnMusic");</v>
      </c>
    </row>
    <row r="81" spans="1:15" x14ac:dyDescent="0.25">
      <c r="A81" s="1" t="s">
        <v>362</v>
      </c>
      <c r="B81" s="5" t="s">
        <v>324</v>
      </c>
      <c r="C81" s="1">
        <f t="shared" ca="1" si="10"/>
        <v>3</v>
      </c>
      <c r="D81" s="1" t="s">
        <v>316</v>
      </c>
      <c r="E81" s="1"/>
      <c r="F81" s="1"/>
      <c r="G81" s="1" t="s">
        <v>669</v>
      </c>
      <c r="H81" s="1" t="str">
        <f t="shared" ca="1" si="11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2"/>
        <v>createCase</v>
      </c>
      <c r="K81" s="1" t="str">
        <f t="shared" si="8"/>
        <v>musicCase</v>
      </c>
      <c r="L81" s="1"/>
      <c r="M81" s="1"/>
      <c r="N81" s="14" t="str">
        <f t="shared" ca="1" si="13"/>
        <v>MCCase * scrollBtnMusicMusicCase;</v>
      </c>
      <c r="O81" s="14" t="str">
        <f t="shared" ca="1" si="9"/>
        <v>scrollBtnMusicMusicCase= scrollBtnMusic-&gt;createCase("musicCase");</v>
      </c>
    </row>
    <row r="82" spans="1:15" x14ac:dyDescent="0.25">
      <c r="A82" s="1" t="s">
        <v>362</v>
      </c>
      <c r="B82" s="4" t="s">
        <v>366</v>
      </c>
      <c r="C82" s="1">
        <f t="shared" ca="1" si="10"/>
        <v>2</v>
      </c>
      <c r="D82" s="1" t="s">
        <v>316</v>
      </c>
      <c r="E82" s="1"/>
      <c r="F82" s="1"/>
      <c r="G82" s="1" t="s">
        <v>586</v>
      </c>
      <c r="H82" s="1" t="str">
        <f t="shared" ca="1" si="11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2"/>
        <v>createMovieClipSub</v>
      </c>
      <c r="K82" s="1" t="str">
        <f t="shared" si="8"/>
        <v>btnSound</v>
      </c>
      <c r="L82" s="1"/>
      <c r="M82" s="1"/>
      <c r="N82" s="14" t="str">
        <f t="shared" ca="1" si="13"/>
        <v>MovieClipSub * scrollBtnSound;</v>
      </c>
      <c r="O82" s="14" t="str">
        <f t="shared" ca="1" si="9"/>
        <v>scrollBtnSound= scroll-&gt;createMovieClipSub("btnSound");</v>
      </c>
    </row>
    <row r="83" spans="1:15" x14ac:dyDescent="0.25">
      <c r="A83" s="1" t="s">
        <v>362</v>
      </c>
      <c r="B83" s="5" t="s">
        <v>365</v>
      </c>
      <c r="C83" s="1">
        <f t="shared" ca="1" si="10"/>
        <v>3</v>
      </c>
      <c r="D83" s="1" t="s">
        <v>316</v>
      </c>
      <c r="E83" s="1"/>
      <c r="F83" s="1"/>
      <c r="G83" s="1" t="s">
        <v>669</v>
      </c>
      <c r="H83" s="1" t="str">
        <f t="shared" ca="1" si="11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2"/>
        <v>createCase</v>
      </c>
      <c r="K83" s="1" t="str">
        <f t="shared" si="8"/>
        <v>soundCase</v>
      </c>
      <c r="L83" s="1"/>
      <c r="M83" s="1"/>
      <c r="N83" s="14" t="str">
        <f t="shared" ca="1" si="13"/>
        <v>MCCase * scrollBtnSoundSoundCase;</v>
      </c>
      <c r="O83" s="14" t="str">
        <f t="shared" ca="1" si="9"/>
        <v>scrollBtnSoundSoundCase= scrollBtnSound-&gt;createCase("soundCase");</v>
      </c>
    </row>
    <row r="84" spans="1:15" x14ac:dyDescent="0.25">
      <c r="A84" s="1" t="s">
        <v>362</v>
      </c>
      <c r="B84" s="4" t="s">
        <v>367</v>
      </c>
      <c r="C84" s="1">
        <f t="shared" ca="1" si="10"/>
        <v>2</v>
      </c>
      <c r="D84" s="1" t="s">
        <v>316</v>
      </c>
      <c r="E84" s="1"/>
      <c r="F84" s="1"/>
      <c r="G84" s="1" t="s">
        <v>586</v>
      </c>
      <c r="H84" s="1" t="str">
        <f t="shared" ca="1" si="11"/>
        <v>scrollBtnLow</v>
      </c>
      <c r="I84" s="1" t="str">
        <f ca="1">IF(C84&lt;2,"this",IF(C84=C83,I83,IF(C84&gt;C83,H83, LOOKUP(1,0/(H$2:H83=I83),I$2:I84))))</f>
        <v>scroll</v>
      </c>
      <c r="J84" s="1" t="str">
        <f t="shared" si="12"/>
        <v>createMovieClipSub</v>
      </c>
      <c r="K84" s="1" t="str">
        <f t="shared" si="8"/>
        <v>btnLow</v>
      </c>
      <c r="L84" s="1"/>
      <c r="M84" s="1"/>
      <c r="N84" s="14" t="str">
        <f t="shared" ca="1" si="13"/>
        <v>MovieClipSub * scrollBtnLow;</v>
      </c>
      <c r="O84" s="14" t="str">
        <f t="shared" ca="1" si="9"/>
        <v>scrollBtnLow= scroll-&gt;createMovieClipSub("btnLow");</v>
      </c>
    </row>
    <row r="85" spans="1:15" x14ac:dyDescent="0.25">
      <c r="A85" s="1" t="s">
        <v>362</v>
      </c>
      <c r="B85" s="5" t="s">
        <v>368</v>
      </c>
      <c r="C85" s="1">
        <f t="shared" ca="1" si="10"/>
        <v>3</v>
      </c>
      <c r="D85" s="1" t="s">
        <v>316</v>
      </c>
      <c r="E85" s="1"/>
      <c r="F85" s="1"/>
      <c r="G85" s="1" t="s">
        <v>669</v>
      </c>
      <c r="H85" s="1" t="str">
        <f t="shared" ca="1" si="11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2"/>
        <v>createCase</v>
      </c>
      <c r="K85" s="1" t="str">
        <f t="shared" si="8"/>
        <v>lowCase</v>
      </c>
      <c r="L85" s="1"/>
      <c r="M85" s="1"/>
      <c r="N85" s="14" t="str">
        <f t="shared" ca="1" si="13"/>
        <v>MCCase * scrollBtnLowLowCase;</v>
      </c>
      <c r="O85" s="14" t="str">
        <f t="shared" ca="1" si="9"/>
        <v>scrollBtnLowLowCase= scrollBtnLow-&gt;createCase("lowCase");</v>
      </c>
    </row>
    <row r="86" spans="1:15" x14ac:dyDescent="0.25">
      <c r="A86" s="1" t="s">
        <v>362</v>
      </c>
      <c r="B86" s="4" t="s">
        <v>369</v>
      </c>
      <c r="C86" s="1">
        <f t="shared" ca="1" si="10"/>
        <v>2</v>
      </c>
      <c r="D86" s="1" t="s">
        <v>316</v>
      </c>
      <c r="E86" s="1"/>
      <c r="F86" s="1"/>
      <c r="G86" s="1" t="s">
        <v>586</v>
      </c>
      <c r="H86" s="1" t="str">
        <f t="shared" ca="1" si="11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2"/>
        <v>createMovieClipSub</v>
      </c>
      <c r="K86" s="1" t="str">
        <f t="shared" si="8"/>
        <v>btnMedium</v>
      </c>
      <c r="L86" s="1"/>
      <c r="M86" s="1"/>
      <c r="N86" s="14" t="str">
        <f t="shared" ca="1" si="13"/>
        <v>MovieClipSub * scrollBtnMedium;</v>
      </c>
      <c r="O86" s="14" t="str">
        <f t="shared" ca="1" si="9"/>
        <v>scrollBtnMedium= scroll-&gt;createMovieClipSub("btnMedium");</v>
      </c>
    </row>
    <row r="87" spans="1:15" x14ac:dyDescent="0.25">
      <c r="A87" s="1" t="s">
        <v>362</v>
      </c>
      <c r="B87" s="5" t="s">
        <v>370</v>
      </c>
      <c r="C87" s="1">
        <f t="shared" ca="1" si="10"/>
        <v>3</v>
      </c>
      <c r="D87" s="1" t="s">
        <v>316</v>
      </c>
      <c r="E87" s="1"/>
      <c r="F87" s="1"/>
      <c r="G87" s="1" t="s">
        <v>669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2"/>
        <v>createCase</v>
      </c>
      <c r="K87" s="1" t="str">
        <f t="shared" si="8"/>
        <v>mediumCase</v>
      </c>
      <c r="L87" s="1"/>
      <c r="M87" s="1"/>
      <c r="N87" s="14" t="str">
        <f t="shared" ca="1" si="13"/>
        <v>MCCase * scrollBtnMediumMediumCase;</v>
      </c>
      <c r="O87" s="14" t="str">
        <f t="shared" ca="1" si="9"/>
        <v>scrollBtnMediumMediumCase= scrollBtnMedium-&gt;createCase("mediumCase");</v>
      </c>
    </row>
    <row r="88" spans="1:15" x14ac:dyDescent="0.25">
      <c r="A88" s="1" t="s">
        <v>362</v>
      </c>
      <c r="B88" s="4" t="s">
        <v>371</v>
      </c>
      <c r="C88" s="1">
        <f t="shared" ca="1" si="10"/>
        <v>2</v>
      </c>
      <c r="D88" s="1" t="s">
        <v>316</v>
      </c>
      <c r="E88" s="1"/>
      <c r="F88" s="1"/>
      <c r="G88" s="1" t="s">
        <v>586</v>
      </c>
      <c r="H88" s="1" t="str">
        <f t="shared" ca="1" si="11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2"/>
        <v>createMovieClipSub</v>
      </c>
      <c r="K88" s="1" t="str">
        <f t="shared" si="8"/>
        <v>btnHigh</v>
      </c>
      <c r="L88" s="1"/>
      <c r="M88" s="1"/>
      <c r="N88" s="14" t="str">
        <f t="shared" ca="1" si="13"/>
        <v>MovieClipSub * scrollBtnHigh;</v>
      </c>
      <c r="O88" s="14" t="str">
        <f t="shared" ca="1" si="9"/>
        <v>scrollBtnHigh= scroll-&gt;createMovieClipSub("btnHigh");</v>
      </c>
    </row>
    <row r="89" spans="1:15" x14ac:dyDescent="0.25">
      <c r="A89" s="1" t="s">
        <v>362</v>
      </c>
      <c r="B89" s="5" t="s">
        <v>372</v>
      </c>
      <c r="C89" s="1">
        <f t="shared" ca="1" si="10"/>
        <v>3</v>
      </c>
      <c r="D89" s="1" t="s">
        <v>316</v>
      </c>
      <c r="E89" s="1"/>
      <c r="F89" s="1"/>
      <c r="G89" s="1" t="s">
        <v>669</v>
      </c>
      <c r="H89" s="1" t="str">
        <f t="shared" ca="1" si="11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2"/>
        <v>createCase</v>
      </c>
      <c r="K89" s="1" t="str">
        <f t="shared" si="8"/>
        <v>highCase</v>
      </c>
      <c r="L89" s="1"/>
      <c r="M89" s="1"/>
      <c r="N89" s="14" t="str">
        <f t="shared" ca="1" si="13"/>
        <v>MCCase * scrollBtnHighHighCase;</v>
      </c>
      <c r="O89" s="14" t="str">
        <f t="shared" ca="1" si="9"/>
        <v>scrollBtnHighHighCase= scrollBtnHigh-&gt;createCase("highCase");</v>
      </c>
    </row>
    <row r="90" spans="1:15" x14ac:dyDescent="0.25">
      <c r="A90" s="1" t="s">
        <v>362</v>
      </c>
      <c r="B90" s="4" t="s">
        <v>373</v>
      </c>
      <c r="C90" s="1">
        <f t="shared" ca="1" si="10"/>
        <v>2</v>
      </c>
      <c r="D90" s="1" t="s">
        <v>316</v>
      </c>
      <c r="E90" s="1"/>
      <c r="F90" s="1"/>
      <c r="G90" s="1" t="s">
        <v>586</v>
      </c>
      <c r="H90" s="1" t="str">
        <f t="shared" ca="1" si="11"/>
        <v>scrollBtnOn</v>
      </c>
      <c r="I90" s="1" t="str">
        <f ca="1">IF(C90&lt;2,"this",IF(C90=C89,I89,IF(C90&gt;C89,H89, LOOKUP(1,0/(H$2:H89=I89),I$2:I90))))</f>
        <v>scroll</v>
      </c>
      <c r="J90" s="1" t="str">
        <f t="shared" si="12"/>
        <v>createMovieClipSub</v>
      </c>
      <c r="K90" s="1" t="str">
        <f t="shared" si="8"/>
        <v>btnOn</v>
      </c>
      <c r="L90" s="1"/>
      <c r="M90" s="1"/>
      <c r="N90" s="14" t="str">
        <f t="shared" ca="1" si="13"/>
        <v>MovieClipSub * scrollBtnOn;</v>
      </c>
      <c r="O90" s="14" t="str">
        <f t="shared" ca="1" si="9"/>
        <v>scrollBtnOn= scroll-&gt;createMovieClipSub("btnOn");</v>
      </c>
    </row>
    <row r="91" spans="1:15" x14ac:dyDescent="0.25">
      <c r="A91" s="1" t="s">
        <v>362</v>
      </c>
      <c r="B91" s="5" t="s">
        <v>374</v>
      </c>
      <c r="C91" s="1">
        <f t="shared" ca="1" si="10"/>
        <v>3</v>
      </c>
      <c r="D91" s="1" t="s">
        <v>316</v>
      </c>
      <c r="E91" s="1"/>
      <c r="F91" s="1"/>
      <c r="G91" s="1" t="s">
        <v>669</v>
      </c>
      <c r="H91" s="1" t="str">
        <f t="shared" ca="1" si="11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2"/>
        <v>createCase</v>
      </c>
      <c r="K91" s="1" t="str">
        <f t="shared" si="8"/>
        <v>onCase</v>
      </c>
      <c r="L91" s="1"/>
      <c r="M91" s="1"/>
      <c r="N91" s="14" t="str">
        <f t="shared" ca="1" si="13"/>
        <v>MCCase * scrollBtnOnOnCase;</v>
      </c>
      <c r="O91" s="14" t="str">
        <f t="shared" ca="1" si="9"/>
        <v>scrollBtnOnOnCase= scrollBtnOn-&gt;createCase("onCase");</v>
      </c>
    </row>
    <row r="92" spans="1:15" x14ac:dyDescent="0.25">
      <c r="A92" s="1" t="s">
        <v>362</v>
      </c>
      <c r="B92" s="4" t="s">
        <v>375</v>
      </c>
      <c r="C92" s="1">
        <f t="shared" ca="1" si="10"/>
        <v>2</v>
      </c>
      <c r="D92" s="1" t="s">
        <v>316</v>
      </c>
      <c r="E92" s="1"/>
      <c r="F92" s="1"/>
      <c r="G92" s="1" t="s">
        <v>586</v>
      </c>
      <c r="H92" s="1" t="str">
        <f t="shared" ca="1" si="11"/>
        <v>scrollBtnOff</v>
      </c>
      <c r="I92" s="1" t="str">
        <f ca="1">IF(C92&lt;2,"this",IF(C92=C91,I91,IF(C92&gt;C91,H91, LOOKUP(1,0/(H$2:H91=I91),I$2:I92))))</f>
        <v>scroll</v>
      </c>
      <c r="J92" s="1" t="str">
        <f t="shared" si="12"/>
        <v>createMovieClipSub</v>
      </c>
      <c r="K92" s="1" t="str">
        <f t="shared" si="8"/>
        <v>btnOff</v>
      </c>
      <c r="L92" s="1"/>
      <c r="M92" s="1"/>
      <c r="N92" s="14" t="str">
        <f t="shared" ca="1" si="13"/>
        <v>MovieClipSub * scrollBtnOff;</v>
      </c>
      <c r="O92" s="14" t="str">
        <f t="shared" ca="1" si="9"/>
        <v>scrollBtnOff= scroll-&gt;createMovieClipSub("btnOff");</v>
      </c>
    </row>
    <row r="93" spans="1:15" x14ac:dyDescent="0.25">
      <c r="A93" s="1" t="s">
        <v>362</v>
      </c>
      <c r="B93" s="5" t="s">
        <v>376</v>
      </c>
      <c r="C93" s="1">
        <f t="shared" ca="1" si="10"/>
        <v>3</v>
      </c>
      <c r="D93" s="1" t="s">
        <v>316</v>
      </c>
      <c r="E93" s="1"/>
      <c r="F93" s="1"/>
      <c r="G93" s="1" t="s">
        <v>669</v>
      </c>
      <c r="H93" s="1" t="str">
        <f t="shared" ca="1" si="11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2"/>
        <v>createCase</v>
      </c>
      <c r="K93" s="1" t="str">
        <f t="shared" si="8"/>
        <v>offCase</v>
      </c>
      <c r="L93" s="1"/>
      <c r="M93" s="1"/>
      <c r="N93" s="14" t="str">
        <f t="shared" ca="1" si="13"/>
        <v>MCCase * scrollBtnOffOffCase;</v>
      </c>
      <c r="O93" s="14" t="str">
        <f t="shared" ca="1" si="9"/>
        <v>scrollBtnOffOffCase= scrollBtnOff-&gt;createCase("offCase");</v>
      </c>
    </row>
    <row r="94" spans="1:15" x14ac:dyDescent="0.25">
      <c r="A94" s="1" t="s">
        <v>362</v>
      </c>
      <c r="B94" s="4" t="s">
        <v>377</v>
      </c>
      <c r="C94" s="1">
        <f t="shared" ca="1" si="10"/>
        <v>2</v>
      </c>
      <c r="D94" s="1" t="s">
        <v>316</v>
      </c>
      <c r="E94" s="1"/>
      <c r="F94" s="1"/>
      <c r="G94" s="1" t="s">
        <v>586</v>
      </c>
      <c r="H94" s="1" t="str">
        <f t="shared" ca="1" si="11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2"/>
        <v>createMovieClipSub</v>
      </c>
      <c r="K94" s="1" t="str">
        <f t="shared" si="8"/>
        <v>btnResume</v>
      </c>
      <c r="L94" s="1"/>
      <c r="M94" s="1"/>
      <c r="N94" s="14" t="str">
        <f t="shared" ca="1" si="13"/>
        <v>MovieClipSub * scrollBtnResume;</v>
      </c>
      <c r="O94" s="14" t="str">
        <f t="shared" ca="1" si="9"/>
        <v>scrollBtnResume= scroll-&gt;createMovieClipSub("btnResume");</v>
      </c>
    </row>
    <row r="95" spans="1:15" x14ac:dyDescent="0.25">
      <c r="A95" s="1" t="s">
        <v>362</v>
      </c>
      <c r="B95" s="5" t="s">
        <v>378</v>
      </c>
      <c r="C95" s="1">
        <f t="shared" ca="1" si="10"/>
        <v>3</v>
      </c>
      <c r="D95" s="1" t="s">
        <v>316</v>
      </c>
      <c r="E95" s="1"/>
      <c r="F95" s="1"/>
      <c r="G95" s="1" t="s">
        <v>586</v>
      </c>
      <c r="H95" s="1" t="str">
        <f t="shared" ca="1" si="11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2"/>
        <v>createMovieClipSub</v>
      </c>
      <c r="K95" s="1" t="str">
        <f t="shared" si="8"/>
        <v>arrow</v>
      </c>
      <c r="L95" s="1"/>
      <c r="M95" s="1"/>
      <c r="N95" s="14" t="str">
        <f t="shared" ca="1" si="13"/>
        <v>MovieClipSub * scrollBtnResumeArrow;</v>
      </c>
      <c r="O95" s="14" t="str">
        <f t="shared" ca="1" si="9"/>
        <v>scrollBtnResumeArrow= scrollBtnResume-&gt;createMovieClipSub("arrow");</v>
      </c>
    </row>
    <row r="96" spans="1:15" x14ac:dyDescent="0.25">
      <c r="A96" s="1" t="s">
        <v>362</v>
      </c>
      <c r="B96" s="5" t="s">
        <v>379</v>
      </c>
      <c r="C96" s="1">
        <f t="shared" ca="1" si="10"/>
        <v>3</v>
      </c>
      <c r="D96" s="1" t="s">
        <v>316</v>
      </c>
      <c r="E96" s="1"/>
      <c r="F96" s="1"/>
      <c r="G96" s="1" t="s">
        <v>669</v>
      </c>
      <c r="H96" s="1" t="str">
        <f t="shared" ca="1" si="11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2"/>
        <v>createCase</v>
      </c>
      <c r="K96" s="1" t="str">
        <f t="shared" si="8"/>
        <v>resumeCase</v>
      </c>
      <c r="L96" s="1"/>
      <c r="M96" s="1"/>
      <c r="N96" s="14" t="str">
        <f t="shared" ca="1" si="13"/>
        <v>MCCase * scrollBtnResumeResumeCase;</v>
      </c>
      <c r="O96" s="14" t="str">
        <f t="shared" ca="1" si="9"/>
        <v>scrollBtnResumeResumeCase= scrollBtnResume-&gt;createCase("resumeCase");</v>
      </c>
    </row>
    <row r="97" spans="1:15" x14ac:dyDescent="0.25">
      <c r="A97" s="1" t="s">
        <v>362</v>
      </c>
      <c r="B97" s="4" t="s">
        <v>380</v>
      </c>
      <c r="C97" s="1">
        <f t="shared" ca="1" si="10"/>
        <v>2</v>
      </c>
      <c r="D97" s="1" t="s">
        <v>316</v>
      </c>
      <c r="E97" s="1"/>
      <c r="F97" s="1"/>
      <c r="G97" s="1" t="s">
        <v>586</v>
      </c>
      <c r="H97" s="1" t="str">
        <f t="shared" ca="1" si="11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2"/>
        <v>createMovieClipSub</v>
      </c>
      <c r="K97" s="1" t="str">
        <f t="shared" si="8"/>
        <v>btnRestart</v>
      </c>
      <c r="L97" s="1"/>
      <c r="M97" s="1"/>
      <c r="N97" s="14" t="str">
        <f t="shared" ca="1" si="13"/>
        <v>MovieClipSub * scrollBtnRestart;</v>
      </c>
      <c r="O97" s="14" t="str">
        <f t="shared" ca="1" si="9"/>
        <v>scrollBtnRestart= scroll-&gt;createMovieClipSub("btnRestart");</v>
      </c>
    </row>
    <row r="98" spans="1:15" x14ac:dyDescent="0.25">
      <c r="A98" s="1" t="s">
        <v>362</v>
      </c>
      <c r="B98" s="5" t="s">
        <v>378</v>
      </c>
      <c r="C98" s="1">
        <f t="shared" ca="1" si="10"/>
        <v>3</v>
      </c>
      <c r="D98" s="1" t="s">
        <v>316</v>
      </c>
      <c r="E98" s="1"/>
      <c r="F98" s="1"/>
      <c r="G98" s="1" t="s">
        <v>586</v>
      </c>
      <c r="H98" s="1" t="str">
        <f t="shared" ca="1" si="11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2"/>
        <v>createMovieClipSub</v>
      </c>
      <c r="K98" s="1" t="str">
        <f t="shared" si="8"/>
        <v>arrow</v>
      </c>
      <c r="L98" s="1"/>
      <c r="M98" s="1"/>
      <c r="N98" s="14" t="str">
        <f t="shared" ca="1" si="13"/>
        <v>MovieClipSub * scrollBtnRestartArrow;</v>
      </c>
      <c r="O98" s="14" t="str">
        <f t="shared" ca="1" si="9"/>
        <v>scrollBtnRestartArrow= scrollBtnRestart-&gt;createMovieClipSub("arrow");</v>
      </c>
    </row>
    <row r="99" spans="1:15" x14ac:dyDescent="0.25">
      <c r="A99" s="1" t="s">
        <v>362</v>
      </c>
      <c r="B99" s="5" t="s">
        <v>381</v>
      </c>
      <c r="C99" s="1">
        <f t="shared" ca="1" si="10"/>
        <v>3</v>
      </c>
      <c r="D99" s="1" t="s">
        <v>316</v>
      </c>
      <c r="E99" s="1"/>
      <c r="F99" s="1"/>
      <c r="G99" s="1" t="s">
        <v>669</v>
      </c>
      <c r="H99" s="1" t="str">
        <f t="shared" ca="1" si="11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2"/>
        <v>createCase</v>
      </c>
      <c r="K99" s="1" t="str">
        <f t="shared" si="8"/>
        <v>restartCase</v>
      </c>
      <c r="L99" s="1"/>
      <c r="M99" s="1"/>
      <c r="N99" s="14" t="str">
        <f t="shared" ca="1" si="13"/>
        <v>MCCase * scrollBtnRestartRestartCase;</v>
      </c>
      <c r="O99" s="14" t="str">
        <f t="shared" ca="1" si="9"/>
        <v>scrollBtnRestartRestartCase= scrollBtnRestart-&gt;createCase("restartCase");</v>
      </c>
    </row>
    <row r="100" spans="1:15" x14ac:dyDescent="0.25">
      <c r="A100" s="1" t="s">
        <v>362</v>
      </c>
      <c r="B100" s="4" t="s">
        <v>382</v>
      </c>
      <c r="C100" s="1">
        <f t="shared" ca="1" si="10"/>
        <v>2</v>
      </c>
      <c r="D100" s="1" t="s">
        <v>316</v>
      </c>
      <c r="E100" s="1"/>
      <c r="F100" s="1"/>
      <c r="G100" s="1" t="s">
        <v>586</v>
      </c>
      <c r="H100" s="1" t="str">
        <f t="shared" ca="1" si="11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2"/>
        <v>createMovieClipSub</v>
      </c>
      <c r="K100" s="1" t="str">
        <f t="shared" si="8"/>
        <v>btnExit</v>
      </c>
      <c r="L100" s="1"/>
      <c r="M100" s="1"/>
      <c r="N100" s="14" t="str">
        <f t="shared" ca="1" si="13"/>
        <v>MovieClipSub * scrollBtnExit;</v>
      </c>
      <c r="O100" s="14" t="str">
        <f t="shared" ca="1" si="9"/>
        <v>scrollBtnExit= scroll-&gt;createMovieClipSub("btnExit");</v>
      </c>
    </row>
    <row r="101" spans="1:15" x14ac:dyDescent="0.25">
      <c r="A101" s="1" t="s">
        <v>362</v>
      </c>
      <c r="B101" s="5" t="s">
        <v>383</v>
      </c>
      <c r="C101" s="1">
        <f t="shared" ca="1" si="10"/>
        <v>3</v>
      </c>
      <c r="D101" s="1" t="s">
        <v>316</v>
      </c>
      <c r="E101" s="1"/>
      <c r="F101" s="1"/>
      <c r="G101" s="1" t="s">
        <v>669</v>
      </c>
      <c r="H101" s="1" t="str">
        <f t="shared" ca="1" si="11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2"/>
        <v>createCase</v>
      </c>
      <c r="K101" s="1" t="str">
        <f t="shared" si="8"/>
        <v>exitCase</v>
      </c>
      <c r="L101" s="1"/>
      <c r="M101" s="1"/>
      <c r="N101" s="14" t="str">
        <f t="shared" ca="1" si="13"/>
        <v>MCCase * scrollBtnExitExitCase;</v>
      </c>
      <c r="O101" s="14" t="str">
        <f t="shared" ca="1" si="9"/>
        <v>scrollBtnExitExitCase= scrollBtnExit-&gt;createCase("exitCase");</v>
      </c>
    </row>
    <row r="102" spans="1:15" x14ac:dyDescent="0.25">
      <c r="A102" s="1" t="s">
        <v>362</v>
      </c>
      <c r="B102" s="5" t="s">
        <v>378</v>
      </c>
      <c r="C102" s="1">
        <f t="shared" ca="1" si="10"/>
        <v>3</v>
      </c>
      <c r="D102" s="1" t="s">
        <v>316</v>
      </c>
      <c r="E102" s="1"/>
      <c r="F102" s="1"/>
      <c r="G102" s="1" t="s">
        <v>586</v>
      </c>
      <c r="H102" s="1" t="str">
        <f t="shared" ca="1" si="11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2"/>
        <v>createMovieClipSub</v>
      </c>
      <c r="K102" s="1" t="str">
        <f t="shared" si="8"/>
        <v>arrow</v>
      </c>
      <c r="L102" s="1"/>
      <c r="M102" s="1"/>
      <c r="N102" s="14" t="str">
        <f t="shared" ca="1" si="13"/>
        <v>MovieClipSub * scrollBtnExitArrow;</v>
      </c>
      <c r="O102" s="14" t="str">
        <f t="shared" ca="1" si="9"/>
        <v>scrollBtnExitArrow= scrollBtnExit-&gt;createMovieClipSub("arrow");</v>
      </c>
    </row>
    <row r="103" spans="1:15" x14ac:dyDescent="0.25">
      <c r="A103" s="1" t="s">
        <v>362</v>
      </c>
      <c r="B103" s="4" t="s">
        <v>386</v>
      </c>
      <c r="C103" s="1">
        <f t="shared" ca="1" si="10"/>
        <v>2</v>
      </c>
      <c r="D103" s="1" t="s">
        <v>316</v>
      </c>
      <c r="E103" s="1"/>
      <c r="F103" s="1"/>
      <c r="G103" s="1" t="s">
        <v>586</v>
      </c>
      <c r="H103" s="1" t="str">
        <f t="shared" ca="1" si="11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2"/>
        <v>createMovieClipSub</v>
      </c>
      <c r="K103" s="1" t="str">
        <f t="shared" si="8"/>
        <v>question</v>
      </c>
      <c r="L103" s="1"/>
      <c r="M103" s="1"/>
      <c r="N103" s="14" t="str">
        <f t="shared" ca="1" si="13"/>
        <v>MovieClipSub * scrollQuestion;</v>
      </c>
      <c r="O103" s="14" t="str">
        <f t="shared" ca="1" si="9"/>
        <v>scrollQuestion= scroll-&gt;createMovieClipSub("question");</v>
      </c>
    </row>
    <row r="104" spans="1:15" x14ac:dyDescent="0.25">
      <c r="A104" s="1" t="s">
        <v>362</v>
      </c>
      <c r="B104" s="5" t="s">
        <v>387</v>
      </c>
      <c r="C104" s="1">
        <f t="shared" ca="1" si="10"/>
        <v>3</v>
      </c>
      <c r="D104" s="1" t="s">
        <v>316</v>
      </c>
      <c r="E104" s="1"/>
      <c r="F104" s="1"/>
      <c r="G104" s="1" t="s">
        <v>586</v>
      </c>
      <c r="H104" s="1" t="str">
        <f t="shared" ca="1" si="11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2"/>
        <v>createMovieClipSub</v>
      </c>
      <c r="K104" s="1" t="str">
        <f t="shared" si="8"/>
        <v>btnYes</v>
      </c>
      <c r="L104" s="1"/>
      <c r="M104" s="1"/>
      <c r="N104" s="14" t="str">
        <f t="shared" ca="1" si="13"/>
        <v>MovieClipSub * scrollQuestionBtnYes;</v>
      </c>
      <c r="O104" s="14" t="str">
        <f t="shared" ca="1" si="9"/>
        <v>scrollQuestionBtnYes= scrollQuestion-&gt;createMovieClipSub("btnYes");</v>
      </c>
    </row>
    <row r="105" spans="1:15" x14ac:dyDescent="0.25">
      <c r="A105" s="1" t="s">
        <v>362</v>
      </c>
      <c r="B105" s="15" t="s">
        <v>389</v>
      </c>
      <c r="C105" s="1">
        <f t="shared" ca="1" si="10"/>
        <v>4</v>
      </c>
      <c r="D105" s="1" t="s">
        <v>316</v>
      </c>
      <c r="E105" s="1"/>
      <c r="F105" s="1"/>
      <c r="G105" s="1" t="s">
        <v>669</v>
      </c>
      <c r="H105" s="1" t="str">
        <f t="shared" ca="1" si="11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2"/>
        <v>createCase</v>
      </c>
      <c r="K105" s="1" t="str">
        <f t="shared" si="8"/>
        <v>yesCase</v>
      </c>
      <c r="L105" s="1"/>
      <c r="M105" s="1"/>
      <c r="N105" s="14" t="str">
        <f t="shared" ca="1" si="13"/>
        <v>MCCase * scrollQuestionBtnYesYesCase;</v>
      </c>
      <c r="O105" s="14" t="str">
        <f t="shared" ca="1" si="9"/>
        <v>scrollQuestionBtnYesYesCase= scrollQuestionBtnYes-&gt;createCase("yesCase");</v>
      </c>
    </row>
    <row r="106" spans="1:15" x14ac:dyDescent="0.25">
      <c r="A106" s="1" t="s">
        <v>362</v>
      </c>
      <c r="B106" s="5" t="s">
        <v>388</v>
      </c>
      <c r="C106" s="1">
        <f t="shared" ca="1" si="10"/>
        <v>3</v>
      </c>
      <c r="D106" s="1" t="s">
        <v>316</v>
      </c>
      <c r="E106" s="1"/>
      <c r="F106" s="1"/>
      <c r="G106" s="1" t="s">
        <v>586</v>
      </c>
      <c r="H106" s="1" t="str">
        <f t="shared" ca="1" si="11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2"/>
        <v>createMovieClipSub</v>
      </c>
      <c r="K106" s="1" t="str">
        <f t="shared" si="8"/>
        <v>btnNo</v>
      </c>
      <c r="L106" s="1"/>
      <c r="M106" s="1"/>
      <c r="N106" s="14" t="str">
        <f t="shared" ca="1" si="13"/>
        <v>MovieClipSub * scrollQuestionBtnNo;</v>
      </c>
      <c r="O106" s="14" t="str">
        <f t="shared" ca="1" si="9"/>
        <v>scrollQuestionBtnNo= scrollQuestion-&gt;createMovieClipSub("btnNo");</v>
      </c>
    </row>
    <row r="107" spans="1:15" x14ac:dyDescent="0.25">
      <c r="A107" s="1" t="s">
        <v>362</v>
      </c>
      <c r="B107" s="15" t="s">
        <v>390</v>
      </c>
      <c r="C107" s="1">
        <f t="shared" ca="1" si="10"/>
        <v>4</v>
      </c>
      <c r="D107" s="1" t="s">
        <v>316</v>
      </c>
      <c r="E107" s="1"/>
      <c r="F107" s="1"/>
      <c r="G107" s="1" t="s">
        <v>669</v>
      </c>
      <c r="H107" s="1" t="str">
        <f t="shared" ca="1" si="11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2"/>
        <v>createCase</v>
      </c>
      <c r="K107" s="1" t="str">
        <f t="shared" si="8"/>
        <v>noCase</v>
      </c>
      <c r="L107" s="1"/>
      <c r="M107" s="1"/>
      <c r="N107" s="14" t="str">
        <f t="shared" ca="1" si="13"/>
        <v>MCCase * scrollQuestionBtnNoNoCase;</v>
      </c>
      <c r="O107" s="14" t="str">
        <f t="shared" ca="1" si="9"/>
        <v>scrollQuestionBtnNoNoCase= scrollQuestionBtnNo-&gt;createCase("noCase");</v>
      </c>
    </row>
    <row r="108" spans="1:15" x14ac:dyDescent="0.25">
      <c r="A108" s="1" t="s">
        <v>362</v>
      </c>
      <c r="B108" s="4" t="s">
        <v>384</v>
      </c>
      <c r="C108" s="1">
        <f t="shared" ca="1" si="10"/>
        <v>2</v>
      </c>
      <c r="D108" s="1" t="s">
        <v>316</v>
      </c>
      <c r="E108" s="1"/>
      <c r="F108" s="1"/>
      <c r="G108" s="1" t="s">
        <v>586</v>
      </c>
      <c r="H108" s="1" t="str">
        <f t="shared" ca="1" si="11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2"/>
        <v>createMovieClipSub</v>
      </c>
      <c r="K108" s="1" t="str">
        <f t="shared" si="8"/>
        <v>btnY8</v>
      </c>
      <c r="L108" s="1"/>
      <c r="M108" s="1"/>
      <c r="N108" s="14" t="str">
        <f t="shared" ca="1" si="13"/>
        <v>MovieClipSub * scrollQuestionBtnY8;</v>
      </c>
      <c r="O108" s="14" t="str">
        <f t="shared" ca="1" si="9"/>
        <v>scrollQuestionBtnY8= scrollQuestion-&gt;createMovieClipSub("btnY8");</v>
      </c>
    </row>
    <row r="109" spans="1:15" x14ac:dyDescent="0.25">
      <c r="A109" s="1" t="s">
        <v>362</v>
      </c>
      <c r="B109" s="5" t="s">
        <v>385</v>
      </c>
      <c r="C109" s="1">
        <f t="shared" ca="1" si="10"/>
        <v>3</v>
      </c>
      <c r="D109" s="1" t="s">
        <v>316</v>
      </c>
      <c r="E109" s="1"/>
      <c r="F109" s="1"/>
      <c r="G109" s="1" t="s">
        <v>669</v>
      </c>
      <c r="H109" s="1" t="str">
        <f t="shared" ca="1" si="11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2"/>
        <v>createCase</v>
      </c>
      <c r="K109" s="1" t="str">
        <f t="shared" si="8"/>
        <v>y8Case</v>
      </c>
      <c r="L109" s="1"/>
      <c r="M109" s="1"/>
      <c r="N109" s="14" t="str">
        <f t="shared" ca="1" si="13"/>
        <v>MCCase * scrollQuestionBtnY8Y8Case;</v>
      </c>
      <c r="O109" s="14" t="str">
        <f t="shared" ca="1" si="9"/>
        <v>scrollQuestionBtnY8Y8Case= scrollQuestionBtnY8-&gt;createCase("y8Case");</v>
      </c>
    </row>
    <row r="110" spans="1:15" x14ac:dyDescent="0.25">
      <c r="A110" s="1" t="s">
        <v>435</v>
      </c>
      <c r="B110" s="1" t="s">
        <v>434</v>
      </c>
      <c r="C110" s="1">
        <f t="shared" ca="1" si="10"/>
        <v>0</v>
      </c>
      <c r="D110" s="1" t="s">
        <v>316</v>
      </c>
      <c r="E110" s="1"/>
      <c r="F110" s="1"/>
      <c r="G110" s="21" t="s">
        <v>587</v>
      </c>
      <c r="H110" s="1" t="str">
        <f t="shared" ca="1" si="11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2"/>
        <v>createMovieClip</v>
      </c>
      <c r="K110" s="1" t="str">
        <f t="shared" si="8"/>
        <v>DefMenu_mc</v>
      </c>
      <c r="L110" s="1"/>
      <c r="M110" s="1"/>
      <c r="N110" s="14" t="str">
        <f t="shared" ca="1" si="13"/>
        <v/>
      </c>
      <c r="O110" s="14" t="str">
        <f t="shared" ca="1" si="9"/>
        <v>DefMenu_mc::DefMenu_mc:MovieClip("screen/","DefMenu_mc","DefMenu_mc"{)</v>
      </c>
    </row>
    <row r="111" spans="1:15" x14ac:dyDescent="0.25">
      <c r="A111" s="1"/>
      <c r="B111" s="3" t="s">
        <v>364</v>
      </c>
      <c r="C111" s="1">
        <f t="shared" ca="1" si="10"/>
        <v>1</v>
      </c>
      <c r="D111" s="1" t="s">
        <v>316</v>
      </c>
      <c r="E111" s="1"/>
      <c r="F111" s="1"/>
      <c r="G111" s="1" t="s">
        <v>586</v>
      </c>
      <c r="H111" s="1" t="str">
        <f t="shared" ca="1" si="11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2"/>
        <v>createMovieClipSub</v>
      </c>
      <c r="K111" s="1" t="str">
        <f t="shared" si="8"/>
        <v>shadow</v>
      </c>
      <c r="L111" s="1"/>
      <c r="M111" s="1"/>
      <c r="N111" s="14" t="str">
        <f t="shared" ca="1" si="13"/>
        <v>MovieClipSub * shadow;</v>
      </c>
      <c r="O111" s="14" t="str">
        <f t="shared" ca="1" si="9"/>
        <v>shadow= this-&gt;createMovieClipSub("shadow");</v>
      </c>
    </row>
    <row r="112" spans="1:15" x14ac:dyDescent="0.25">
      <c r="A112" s="1"/>
      <c r="B112" s="3" t="s">
        <v>433</v>
      </c>
      <c r="C112" s="1">
        <f t="shared" ca="1" si="10"/>
        <v>1</v>
      </c>
      <c r="D112" s="1" t="s">
        <v>316</v>
      </c>
      <c r="E112" s="1"/>
      <c r="F112" s="1"/>
      <c r="G112" s="1" t="s">
        <v>586</v>
      </c>
      <c r="H112" s="1" t="str">
        <f t="shared" ca="1" si="11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2"/>
        <v>createMovieClipSub</v>
      </c>
      <c r="K112" s="1" t="str">
        <f t="shared" si="8"/>
        <v>first</v>
      </c>
      <c r="L112" s="1"/>
      <c r="M112" s="1"/>
      <c r="N112" s="14" t="str">
        <f t="shared" ca="1" si="13"/>
        <v>MovieClipSub * first;</v>
      </c>
      <c r="O112" s="14" t="str">
        <f t="shared" ca="1" si="9"/>
        <v>first= this-&gt;createMovieClipSub("first");</v>
      </c>
    </row>
    <row r="113" spans="1:15" x14ac:dyDescent="0.25">
      <c r="A113" s="1"/>
      <c r="B113" s="4" t="s">
        <v>111</v>
      </c>
      <c r="C113" s="1">
        <f t="shared" ca="1" si="10"/>
        <v>2</v>
      </c>
      <c r="D113" s="1" t="s">
        <v>316</v>
      </c>
      <c r="E113" s="1"/>
      <c r="F113" s="1"/>
      <c r="G113" s="1" t="s">
        <v>586</v>
      </c>
      <c r="H113" s="1" t="str">
        <f t="shared" ca="1" si="11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2"/>
        <v>createMovieClipSub</v>
      </c>
      <c r="K113" s="1" t="str">
        <f t="shared" si="8"/>
        <v>fire</v>
      </c>
      <c r="L113" s="1"/>
      <c r="M113" s="1"/>
      <c r="N113" s="14" t="str">
        <f t="shared" ca="1" si="13"/>
        <v>MovieClipSub * firstFire;</v>
      </c>
      <c r="O113" s="14" t="str">
        <f t="shared" ca="1" si="9"/>
        <v>firstFire= first-&gt;createMovieClipSub("fire");</v>
      </c>
    </row>
    <row r="114" spans="1:15" x14ac:dyDescent="0.25">
      <c r="A114" s="1"/>
      <c r="B114" s="4" t="s">
        <v>363</v>
      </c>
      <c r="C114" s="1">
        <f t="shared" ca="1" si="10"/>
        <v>2</v>
      </c>
      <c r="D114" s="1" t="s">
        <v>316</v>
      </c>
      <c r="E114" s="1"/>
      <c r="F114" s="1"/>
      <c r="G114" s="1" t="s">
        <v>586</v>
      </c>
      <c r="H114" s="1" t="str">
        <f t="shared" ca="1" si="11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2"/>
        <v>createMovieClipSub</v>
      </c>
      <c r="K114" s="1" t="str">
        <f t="shared" si="8"/>
        <v>scroll</v>
      </c>
      <c r="L114" s="1"/>
      <c r="M114" s="1"/>
      <c r="N114" s="14" t="str">
        <f t="shared" ca="1" si="13"/>
        <v>MovieClipSub * firstScroll;</v>
      </c>
      <c r="O114" s="14" t="str">
        <f t="shared" ca="1" si="9"/>
        <v>firstScroll= first-&gt;createMovieClipSub("scroll");</v>
      </c>
    </row>
    <row r="115" spans="1:15" x14ac:dyDescent="0.25">
      <c r="A115" s="1"/>
      <c r="B115" s="5" t="s">
        <v>436</v>
      </c>
      <c r="C115" s="1">
        <f t="shared" ca="1" si="10"/>
        <v>3</v>
      </c>
      <c r="D115" s="1" t="s">
        <v>316</v>
      </c>
      <c r="E115" s="1"/>
      <c r="F115" s="1"/>
      <c r="G115" s="1" t="s">
        <v>586</v>
      </c>
      <c r="H115" s="1" t="str">
        <f t="shared" ca="1" si="11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2"/>
        <v>createMovieClipSub</v>
      </c>
      <c r="K115" s="1" t="str">
        <f t="shared" si="8"/>
        <v>btnContinue</v>
      </c>
      <c r="L115" s="1"/>
      <c r="M115" s="1"/>
      <c r="N115" s="14" t="str">
        <f t="shared" ca="1" si="13"/>
        <v>MovieClipSub * firstScrollBtnContinue;</v>
      </c>
      <c r="O115" s="14" t="str">
        <f t="shared" ca="1" si="9"/>
        <v>firstScrollBtnContinue= firstScroll-&gt;createMovieClipSub("btnContinue");</v>
      </c>
    </row>
    <row r="116" spans="1:15" x14ac:dyDescent="0.25">
      <c r="A116" s="1"/>
      <c r="B116" s="15" t="s">
        <v>437</v>
      </c>
      <c r="C116" s="1">
        <f t="shared" ca="1" si="10"/>
        <v>4</v>
      </c>
      <c r="D116" s="1" t="s">
        <v>316</v>
      </c>
      <c r="E116" s="1"/>
      <c r="F116" s="1"/>
      <c r="G116" s="1" t="s">
        <v>669</v>
      </c>
      <c r="H116" s="1" t="str">
        <f t="shared" ca="1" si="11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2"/>
        <v>createCase</v>
      </c>
      <c r="K116" s="1" t="str">
        <f t="shared" si="8"/>
        <v>continueCase</v>
      </c>
      <c r="L116" s="1"/>
      <c r="M116" s="1"/>
      <c r="N116" s="14" t="str">
        <f t="shared" ca="1" si="13"/>
        <v>MCCase * firstScrollBtnContinueContinueCase;</v>
      </c>
      <c r="O116" s="14" t="str">
        <f t="shared" ca="1" si="9"/>
        <v>firstScrollBtnContinueContinueCase= firstScrollBtnContinue-&gt;createCase("continueCase");</v>
      </c>
    </row>
    <row r="117" spans="1:15" x14ac:dyDescent="0.25">
      <c r="A117" s="1"/>
      <c r="B117" s="5" t="s">
        <v>380</v>
      </c>
      <c r="C117" s="1">
        <f t="shared" ca="1" si="10"/>
        <v>3</v>
      </c>
      <c r="D117" s="1" t="s">
        <v>316</v>
      </c>
      <c r="E117" s="1"/>
      <c r="F117" s="1"/>
      <c r="G117" s="1" t="s">
        <v>586</v>
      </c>
      <c r="H117" s="1" t="str">
        <f t="shared" ca="1" si="11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2"/>
        <v>createMovieClipSub</v>
      </c>
      <c r="K117" s="1" t="str">
        <f t="shared" si="8"/>
        <v>btnRestart</v>
      </c>
      <c r="L117" s="1"/>
      <c r="M117" s="1"/>
      <c r="N117" s="14" t="str">
        <f t="shared" ca="1" si="13"/>
        <v>MovieClipSub * firstScrollBtnRestart;</v>
      </c>
      <c r="O117" s="14" t="str">
        <f t="shared" ca="1" si="9"/>
        <v>firstScrollBtnRestart= firstScroll-&gt;createMovieClipSub("btnRestart");</v>
      </c>
    </row>
    <row r="118" spans="1:15" x14ac:dyDescent="0.25">
      <c r="A118" s="1"/>
      <c r="B118" s="15" t="s">
        <v>438</v>
      </c>
      <c r="C118" s="1">
        <f t="shared" ca="1" si="10"/>
        <v>4</v>
      </c>
      <c r="D118" s="1" t="s">
        <v>316</v>
      </c>
      <c r="E118" s="1"/>
      <c r="F118" s="1"/>
      <c r="G118" s="1" t="s">
        <v>669</v>
      </c>
      <c r="H118" s="1" t="str">
        <f t="shared" ca="1" si="11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2"/>
        <v>createCase</v>
      </c>
      <c r="K118" s="1" t="str">
        <f t="shared" si="8"/>
        <v>restartCase</v>
      </c>
      <c r="L118" s="1"/>
      <c r="M118" s="1"/>
      <c r="N118" s="14" t="str">
        <f t="shared" ca="1" si="13"/>
        <v>MCCase * firstScrollBtnRestartRestartCase;</v>
      </c>
      <c r="O118" s="14" t="str">
        <f t="shared" ca="1" si="9"/>
        <v>firstScrollBtnRestartRestartCase= firstScrollBtnRestart-&gt;createCase("restartCase");</v>
      </c>
    </row>
    <row r="119" spans="1:15" x14ac:dyDescent="0.25">
      <c r="A119" s="1" t="s">
        <v>440</v>
      </c>
      <c r="B119" s="1" t="s">
        <v>439</v>
      </c>
      <c r="C119" s="1">
        <f t="shared" ca="1" si="10"/>
        <v>0</v>
      </c>
      <c r="D119" s="1" t="s">
        <v>316</v>
      </c>
      <c r="E119" s="1"/>
      <c r="F119" s="1"/>
      <c r="G119" s="21" t="s">
        <v>587</v>
      </c>
      <c r="H119" s="1" t="str">
        <f t="shared" ca="1" si="11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2"/>
        <v>createMovieClip</v>
      </c>
      <c r="K119" s="1" t="str">
        <f t="shared" si="8"/>
        <v>Achievements_mc</v>
      </c>
      <c r="L119" s="1"/>
      <c r="M119" s="1"/>
      <c r="N119" s="14" t="str">
        <f t="shared" ca="1" si="13"/>
        <v/>
      </c>
      <c r="O119" s="14" t="str">
        <f t="shared" ca="1" si="9"/>
        <v>Achievements_mc::Achievements_mc:MovieClip("screen/","Achievements_mc","Achievements_mc"{)</v>
      </c>
    </row>
    <row r="120" spans="1:15" x14ac:dyDescent="0.25">
      <c r="A120" s="1"/>
      <c r="B120" s="3" t="s">
        <v>293</v>
      </c>
      <c r="C120" s="1">
        <f t="shared" ca="1" si="10"/>
        <v>1</v>
      </c>
      <c r="D120" s="1" t="s">
        <v>316</v>
      </c>
      <c r="E120" s="1"/>
      <c r="F120" s="1"/>
      <c r="G120" s="1" t="s">
        <v>586</v>
      </c>
      <c r="H120" s="1" t="str">
        <f t="shared" ca="1" si="11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2"/>
        <v>createMovieClipSub</v>
      </c>
      <c r="K120" s="1" t="str">
        <f t="shared" si="8"/>
        <v>back</v>
      </c>
      <c r="L120" s="1"/>
      <c r="M120" s="1"/>
      <c r="N120" s="14" t="str">
        <f t="shared" ca="1" si="13"/>
        <v>MovieClipSub * back;</v>
      </c>
      <c r="O120" s="14" t="str">
        <f t="shared" ca="1" si="9"/>
        <v>back= this-&gt;createMovieClipSub("back");</v>
      </c>
    </row>
    <row r="121" spans="1:15" x14ac:dyDescent="0.25">
      <c r="A121" s="1"/>
      <c r="B121" s="4" t="s">
        <v>318</v>
      </c>
      <c r="C121" s="1">
        <f t="shared" ca="1" si="10"/>
        <v>2</v>
      </c>
      <c r="D121" s="1" t="s">
        <v>316</v>
      </c>
      <c r="E121" s="1"/>
      <c r="F121" s="1"/>
      <c r="G121" s="1" t="s">
        <v>669</v>
      </c>
      <c r="H121" s="1" t="str">
        <f t="shared" ca="1" si="11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2"/>
        <v>createCase</v>
      </c>
      <c r="K121" s="1" t="str">
        <f t="shared" si="8"/>
        <v>backCase</v>
      </c>
      <c r="L121" s="1"/>
      <c r="M121" s="1"/>
      <c r="N121" s="14" t="str">
        <f t="shared" ca="1" si="13"/>
        <v>MCCase * backBackCase;</v>
      </c>
      <c r="O121" s="14" t="str">
        <f t="shared" ca="1" si="9"/>
        <v>backBackCase= back-&gt;createCase("backCase");</v>
      </c>
    </row>
    <row r="122" spans="1:15" x14ac:dyDescent="0.25">
      <c r="A122" s="1"/>
      <c r="B122" s="3" t="s">
        <v>364</v>
      </c>
      <c r="C122" s="1">
        <f t="shared" ca="1" si="10"/>
        <v>1</v>
      </c>
      <c r="D122" s="1" t="s">
        <v>316</v>
      </c>
      <c r="E122" s="1"/>
      <c r="F122" s="1"/>
      <c r="G122" s="1" t="s">
        <v>586</v>
      </c>
      <c r="H122" s="1" t="str">
        <f t="shared" ca="1" si="11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2"/>
        <v>createMovieClipSub</v>
      </c>
      <c r="K122" s="1" t="str">
        <f t="shared" si="8"/>
        <v>shadow</v>
      </c>
      <c r="L122" s="1"/>
      <c r="M122" s="1"/>
      <c r="N122" s="14" t="str">
        <f t="shared" ca="1" si="13"/>
        <v>MovieClipSub * shadow;</v>
      </c>
      <c r="O122" s="14" t="str">
        <f t="shared" ca="1" si="9"/>
        <v>shadow= this-&gt;createMovieClipSub("shadow");</v>
      </c>
    </row>
    <row r="123" spans="1:15" x14ac:dyDescent="0.25">
      <c r="A123" s="1"/>
      <c r="B123" s="3" t="s">
        <v>80</v>
      </c>
      <c r="C123" s="1">
        <f t="shared" ca="1" si="10"/>
        <v>1</v>
      </c>
      <c r="D123" s="1" t="s">
        <v>316</v>
      </c>
      <c r="E123" s="1"/>
      <c r="F123" s="1"/>
      <c r="G123" s="1" t="s">
        <v>586</v>
      </c>
      <c r="H123" s="1" t="str">
        <f t="shared" ca="1" si="11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2"/>
        <v>createMovieClipSub</v>
      </c>
      <c r="K123" s="1" t="str">
        <f t="shared" si="8"/>
        <v>cont</v>
      </c>
      <c r="L123" s="1"/>
      <c r="M123" s="1"/>
      <c r="N123" s="14" t="str">
        <f t="shared" ca="1" si="13"/>
        <v>MovieClipSub * cont;</v>
      </c>
      <c r="O123" s="14" t="str">
        <f t="shared" ca="1" si="9"/>
        <v>cont= this-&gt;createMovieClipSub("cont");</v>
      </c>
    </row>
    <row r="124" spans="1:15" x14ac:dyDescent="0.25">
      <c r="A124" s="1"/>
      <c r="B124" s="4" t="s">
        <v>441</v>
      </c>
      <c r="C124" s="1">
        <f t="shared" ca="1" si="10"/>
        <v>2</v>
      </c>
      <c r="D124" s="1" t="s">
        <v>316</v>
      </c>
      <c r="E124" s="1"/>
      <c r="F124" s="1"/>
      <c r="G124" s="1" t="s">
        <v>586</v>
      </c>
      <c r="H124" s="1" t="str">
        <f t="shared" ca="1" si="11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2"/>
        <v>createMovieClipSub</v>
      </c>
      <c r="K124" s="1" t="str">
        <f t="shared" si="8"/>
        <v>achieve1</v>
      </c>
      <c r="L124" s="1"/>
      <c r="M124" s="1"/>
      <c r="N124" s="14" t="str">
        <f t="shared" ca="1" si="13"/>
        <v>MovieClipSub * contAchieve1;</v>
      </c>
      <c r="O124" s="14" t="str">
        <f t="shared" ca="1" si="9"/>
        <v>contAchieve1= cont-&gt;createMovieClipSub("achieve1");</v>
      </c>
    </row>
    <row r="125" spans="1:15" x14ac:dyDescent="0.25">
      <c r="A125" s="1"/>
      <c r="B125" s="5" t="s">
        <v>431</v>
      </c>
      <c r="C125" s="1">
        <f t="shared" ca="1" si="10"/>
        <v>3</v>
      </c>
      <c r="D125" s="1" t="s">
        <v>316</v>
      </c>
      <c r="E125" s="1"/>
      <c r="F125" s="1"/>
      <c r="G125" s="1" t="s">
        <v>586</v>
      </c>
      <c r="H125" s="1" t="str">
        <f t="shared" ca="1" si="11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2"/>
        <v>createMovieClipSub</v>
      </c>
      <c r="K125" s="1" t="str">
        <f t="shared" si="8"/>
        <v>icon</v>
      </c>
      <c r="L125" s="1"/>
      <c r="M125" s="1"/>
      <c r="N125" s="14" t="str">
        <f t="shared" ca="1" si="13"/>
        <v>MovieClipSub * contAchieve1Icon;</v>
      </c>
      <c r="O125" s="14" t="str">
        <f t="shared" ca="1" si="9"/>
        <v>contAchieve1Icon= contAchieve1-&gt;createMovieClipSub("icon");</v>
      </c>
    </row>
    <row r="126" spans="1:15" x14ac:dyDescent="0.25">
      <c r="A126" s="1"/>
      <c r="B126" s="5" t="s">
        <v>104</v>
      </c>
      <c r="C126" s="1">
        <f t="shared" ca="1" si="10"/>
        <v>3</v>
      </c>
      <c r="D126" s="1" t="s">
        <v>316</v>
      </c>
      <c r="E126" s="1"/>
      <c r="F126" s="1"/>
      <c r="G126" s="1" t="s">
        <v>671</v>
      </c>
      <c r="H126" s="1" t="str">
        <f t="shared" ca="1" si="11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2"/>
        <v>createText</v>
      </c>
      <c r="K126" s="1" t="str">
        <f t="shared" si="8"/>
        <v>nameTXT</v>
      </c>
      <c r="L126" s="1"/>
      <c r="M126" s="1"/>
      <c r="N126" s="14" t="str">
        <f t="shared" ca="1" si="13"/>
        <v>MCText * contAchieve1NameTXT;</v>
      </c>
      <c r="O126" s="14" t="str">
        <f t="shared" ca="1" si="9"/>
        <v>contAchieve1NameTXT= contAchieve1-&gt;createText("nameTXT");</v>
      </c>
    </row>
    <row r="127" spans="1:15" x14ac:dyDescent="0.25">
      <c r="A127" s="1"/>
      <c r="B127" s="5" t="s">
        <v>154</v>
      </c>
      <c r="C127" s="1">
        <f t="shared" ca="1" si="10"/>
        <v>3</v>
      </c>
      <c r="D127" s="1" t="s">
        <v>316</v>
      </c>
      <c r="E127" s="1"/>
      <c r="F127" s="1"/>
      <c r="G127" s="1" t="s">
        <v>671</v>
      </c>
      <c r="H127" s="1" t="str">
        <f t="shared" ca="1" si="11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2"/>
        <v>createText</v>
      </c>
      <c r="K127" s="1" t="str">
        <f t="shared" si="8"/>
        <v>noteTXT</v>
      </c>
      <c r="L127" s="1"/>
      <c r="M127" s="1"/>
      <c r="N127" s="14" t="str">
        <f t="shared" ca="1" si="13"/>
        <v>MCText * contAchieve1NoteTXT;</v>
      </c>
      <c r="O127" s="14" t="str">
        <f t="shared" ca="1" si="9"/>
        <v>contAchieve1NoteTXT= contAchieve1-&gt;createText("noteTXT");</v>
      </c>
    </row>
    <row r="128" spans="1:15" x14ac:dyDescent="0.25">
      <c r="A128" s="1"/>
      <c r="B128" s="4" t="s">
        <v>442</v>
      </c>
      <c r="C128" s="1">
        <f t="shared" ca="1" si="10"/>
        <v>2</v>
      </c>
      <c r="D128" s="1" t="s">
        <v>316</v>
      </c>
      <c r="E128" s="1"/>
      <c r="F128" s="1"/>
      <c r="G128" s="1" t="s">
        <v>586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2"/>
        <v>createMovieClipSub</v>
      </c>
      <c r="K128" s="1" t="str">
        <f t="shared" si="8"/>
        <v>achieve2</v>
      </c>
      <c r="L128" s="1"/>
      <c r="M128" s="1"/>
      <c r="N128" s="14" t="str">
        <f t="shared" ca="1" si="13"/>
        <v>MovieClipSub * contAchieve2;</v>
      </c>
      <c r="O128" s="14" t="str">
        <f t="shared" ca="1" si="9"/>
        <v>contAchieve2= cont-&gt;createMovieClipSub("achieve2");</v>
      </c>
    </row>
    <row r="129" spans="1:15" x14ac:dyDescent="0.25">
      <c r="A129" s="1"/>
      <c r="B129" s="5" t="s">
        <v>431</v>
      </c>
      <c r="C129" s="1">
        <f t="shared" ca="1" si="10"/>
        <v>3</v>
      </c>
      <c r="D129" s="1" t="s">
        <v>316</v>
      </c>
      <c r="E129" s="1"/>
      <c r="F129" s="1"/>
      <c r="G129" s="1" t="s">
        <v>586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2"/>
        <v>createMovieClipSub</v>
      </c>
      <c r="K129" s="1" t="str">
        <f t="shared" si="8"/>
        <v>icon</v>
      </c>
      <c r="L129" s="1"/>
      <c r="M129" s="1"/>
      <c r="N129" s="14" t="str">
        <f t="shared" ca="1" si="13"/>
        <v>MovieClipSub * contAchieve2Icon;</v>
      </c>
      <c r="O129" s="14" t="str">
        <f t="shared" ca="1" si="9"/>
        <v>contAchieve2Icon= contAchieve2-&gt;createMovieClipSub("icon");</v>
      </c>
    </row>
    <row r="130" spans="1:15" x14ac:dyDescent="0.25">
      <c r="A130" s="1"/>
      <c r="B130" s="5" t="s">
        <v>104</v>
      </c>
      <c r="C130" s="1">
        <f t="shared" ca="1" si="10"/>
        <v>3</v>
      </c>
      <c r="D130" s="1" t="s">
        <v>316</v>
      </c>
      <c r="E130" s="1"/>
      <c r="F130" s="1"/>
      <c r="G130" s="1" t="s">
        <v>671</v>
      </c>
      <c r="H130" s="1" t="str">
        <f t="shared" ca="1" si="11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2"/>
        <v>createText</v>
      </c>
      <c r="K130" s="1" t="str">
        <f t="shared" ref="K130:K193" si="14">B130</f>
        <v>nameTXT</v>
      </c>
      <c r="L130" s="1"/>
      <c r="M130" s="1"/>
      <c r="N130" s="14" t="str">
        <f t="shared" ca="1" si="13"/>
        <v>MCText * contAchieve2NameTXT;</v>
      </c>
      <c r="O130" s="14" t="str">
        <f t="shared" ref="O130:O193" ca="1" si="15">IF(C130&gt;0,IF(G130="MovieClip",IF(M130&lt;&gt;"y",H130&amp;"= "&amp;I130&amp;"-&gt;"&amp;J130&amp;"("""&amp;B130&amp;""","""&amp;D130&amp;"/"","""&amp;L130&amp;""","""&amp;K130&amp;""")"&amp;";",
H130&amp;"= "&amp;"("&amp;K130&amp;"*)"&amp;I130&amp;"-&gt;"&amp;J130&amp;"("""&amp;B130&amp;""",new "&amp;K130&amp;"())"&amp;";"
),H130&amp;"= "&amp;I130&amp;"-&gt;"&amp;J130&amp;"("""&amp;K130&amp;""")"&amp;";"),IF(RIGHT(B130,3)&lt;&gt;"_mc",G130&amp;"("""&amp;D130&amp;""","""&amp;B130&amp;""","""&amp;K130&amp;"""{)",B130&amp;"::"&amp;B130&amp;":"&amp;G130&amp;"("""&amp;D130&amp;"/"","""&amp;B130&amp;""","""&amp;K130&amp;"""{)"))</f>
        <v>contAchieve2NameTXT= contAchieve2-&gt;createText("nameTXT");</v>
      </c>
    </row>
    <row r="131" spans="1:15" x14ac:dyDescent="0.25">
      <c r="A131" s="1"/>
      <c r="B131" s="5" t="s">
        <v>154</v>
      </c>
      <c r="C131" s="1">
        <f t="shared" ref="C131:C194" ca="1" si="16">indent(B131)</f>
        <v>3</v>
      </c>
      <c r="D131" s="1" t="s">
        <v>316</v>
      </c>
      <c r="E131" s="1"/>
      <c r="F131" s="1"/>
      <c r="G131" s="1" t="s">
        <v>671</v>
      </c>
      <c r="H131" s="1" t="str">
        <f t="shared" ref="H131:H194" ca="1" si="17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8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4" t="str">
        <f t="shared" ca="1" si="13"/>
        <v>MCText * contAchieve2NoteTXT;</v>
      </c>
      <c r="O131" s="14" t="str">
        <f t="shared" ca="1" si="15"/>
        <v>contAchieve2NoteTXT= contAchieve2-&gt;createText("noteTXT");</v>
      </c>
    </row>
    <row r="132" spans="1:15" x14ac:dyDescent="0.25">
      <c r="A132" s="1"/>
      <c r="B132" s="4" t="s">
        <v>443</v>
      </c>
      <c r="C132" s="1">
        <f t="shared" ca="1" si="16"/>
        <v>2</v>
      </c>
      <c r="D132" s="1" t="s">
        <v>316</v>
      </c>
      <c r="E132" s="1"/>
      <c r="F132" s="1"/>
      <c r="G132" s="1" t="s">
        <v>586</v>
      </c>
      <c r="H132" s="1" t="str">
        <f t="shared" ca="1" si="17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8"/>
        <v>createMovieClipSub</v>
      </c>
      <c r="K132" s="1" t="str">
        <f t="shared" si="14"/>
        <v>achieve3</v>
      </c>
      <c r="L132" s="1"/>
      <c r="M132" s="1"/>
      <c r="N132" s="14" t="str">
        <f t="shared" ref="N132:N195" ca="1" si="19">IF(C132&gt;0,G132 &amp; " * "&amp;H132 &amp;";","")</f>
        <v>MovieClipSub * contAchieve3;</v>
      </c>
      <c r="O132" s="14" t="str">
        <f t="shared" ca="1" si="15"/>
        <v>contAchieve3= cont-&gt;createMovieClipSub("achieve3");</v>
      </c>
    </row>
    <row r="133" spans="1:15" x14ac:dyDescent="0.25">
      <c r="A133" s="1"/>
      <c r="B133" s="5" t="s">
        <v>431</v>
      </c>
      <c r="C133" s="1">
        <f t="shared" ca="1" si="16"/>
        <v>3</v>
      </c>
      <c r="D133" s="1" t="s">
        <v>316</v>
      </c>
      <c r="E133" s="1"/>
      <c r="F133" s="1"/>
      <c r="G133" s="1" t="s">
        <v>586</v>
      </c>
      <c r="H133" s="1" t="str">
        <f t="shared" ca="1" si="17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8"/>
        <v>createMovieClipSub</v>
      </c>
      <c r="K133" s="1" t="str">
        <f t="shared" si="14"/>
        <v>icon</v>
      </c>
      <c r="L133" s="1"/>
      <c r="M133" s="1"/>
      <c r="N133" s="14" t="str">
        <f t="shared" ca="1" si="19"/>
        <v>MovieClipSub * contAchieve3Icon;</v>
      </c>
      <c r="O133" s="14" t="str">
        <f t="shared" ca="1" si="15"/>
        <v>contAchieve3Icon= contAchieve3-&gt;createMovieClipSub("icon");</v>
      </c>
    </row>
    <row r="134" spans="1:15" x14ac:dyDescent="0.25">
      <c r="A134" s="1"/>
      <c r="B134" s="5" t="s">
        <v>104</v>
      </c>
      <c r="C134" s="1">
        <f t="shared" ca="1" si="16"/>
        <v>3</v>
      </c>
      <c r="D134" s="1" t="s">
        <v>316</v>
      </c>
      <c r="E134" s="1"/>
      <c r="F134" s="1"/>
      <c r="G134" s="1" t="s">
        <v>671</v>
      </c>
      <c r="H134" s="1" t="str">
        <f t="shared" ca="1" si="17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8"/>
        <v>createText</v>
      </c>
      <c r="K134" s="1" t="str">
        <f t="shared" si="14"/>
        <v>nameTXT</v>
      </c>
      <c r="L134" s="1"/>
      <c r="M134" s="1"/>
      <c r="N134" s="14" t="str">
        <f t="shared" ca="1" si="19"/>
        <v>MCText * contAchieve3NameTXT;</v>
      </c>
      <c r="O134" s="14" t="str">
        <f t="shared" ca="1" si="15"/>
        <v>contAchieve3NameTXT= contAchieve3-&gt;createText("nameTXT");</v>
      </c>
    </row>
    <row r="135" spans="1:15" x14ac:dyDescent="0.25">
      <c r="A135" s="1"/>
      <c r="B135" s="5" t="s">
        <v>154</v>
      </c>
      <c r="C135" s="1">
        <f t="shared" ca="1" si="16"/>
        <v>3</v>
      </c>
      <c r="D135" s="1" t="s">
        <v>316</v>
      </c>
      <c r="E135" s="1"/>
      <c r="F135" s="1"/>
      <c r="G135" s="1" t="s">
        <v>671</v>
      </c>
      <c r="H135" s="1" t="str">
        <f t="shared" ca="1" si="17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8"/>
        <v>createText</v>
      </c>
      <c r="K135" s="1" t="str">
        <f t="shared" si="14"/>
        <v>noteTXT</v>
      </c>
      <c r="L135" s="1"/>
      <c r="M135" s="1"/>
      <c r="N135" s="14" t="str">
        <f t="shared" ca="1" si="19"/>
        <v>MCText * contAchieve3NoteTXT;</v>
      </c>
      <c r="O135" s="14" t="str">
        <f t="shared" ca="1" si="15"/>
        <v>contAchieve3NoteTXT= contAchieve3-&gt;createText("noteTXT");</v>
      </c>
    </row>
    <row r="136" spans="1:15" x14ac:dyDescent="0.25">
      <c r="A136" s="1"/>
      <c r="B136" s="4" t="s">
        <v>444</v>
      </c>
      <c r="C136" s="1">
        <f t="shared" ca="1" si="16"/>
        <v>2</v>
      </c>
      <c r="D136" s="1" t="s">
        <v>316</v>
      </c>
      <c r="E136" s="1"/>
      <c r="F136" s="1"/>
      <c r="G136" s="1" t="s">
        <v>586</v>
      </c>
      <c r="H136" s="1" t="str">
        <f t="shared" ca="1" si="17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8"/>
        <v>createMovieClipSub</v>
      </c>
      <c r="K136" s="1" t="str">
        <f t="shared" si="14"/>
        <v>achieve4</v>
      </c>
      <c r="L136" s="1"/>
      <c r="M136" s="1"/>
      <c r="N136" s="14" t="str">
        <f t="shared" ca="1" si="19"/>
        <v>MovieClipSub * contAchieve4;</v>
      </c>
      <c r="O136" s="14" t="str">
        <f t="shared" ca="1" si="15"/>
        <v>contAchieve4= cont-&gt;createMovieClipSub("achieve4");</v>
      </c>
    </row>
    <row r="137" spans="1:15" x14ac:dyDescent="0.25">
      <c r="A137" s="1"/>
      <c r="B137" s="5" t="s">
        <v>431</v>
      </c>
      <c r="C137" s="1">
        <f t="shared" ca="1" si="16"/>
        <v>3</v>
      </c>
      <c r="D137" s="1" t="s">
        <v>316</v>
      </c>
      <c r="E137" s="1"/>
      <c r="F137" s="1"/>
      <c r="G137" s="1" t="s">
        <v>586</v>
      </c>
      <c r="H137" s="1" t="str">
        <f t="shared" ca="1" si="17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8"/>
        <v>createMovieClipSub</v>
      </c>
      <c r="K137" s="1" t="str">
        <f t="shared" si="14"/>
        <v>icon</v>
      </c>
      <c r="L137" s="1"/>
      <c r="M137" s="1"/>
      <c r="N137" s="14" t="str">
        <f t="shared" ca="1" si="19"/>
        <v>MovieClipSub * contAchieve4Icon;</v>
      </c>
      <c r="O137" s="14" t="str">
        <f t="shared" ca="1" si="15"/>
        <v>contAchieve4Icon= contAchieve4-&gt;createMovieClipSub("icon");</v>
      </c>
    </row>
    <row r="138" spans="1:15" x14ac:dyDescent="0.25">
      <c r="A138" s="1"/>
      <c r="B138" s="5" t="s">
        <v>104</v>
      </c>
      <c r="C138" s="1">
        <f t="shared" ca="1" si="16"/>
        <v>3</v>
      </c>
      <c r="D138" s="1" t="s">
        <v>316</v>
      </c>
      <c r="E138" s="1"/>
      <c r="F138" s="1"/>
      <c r="G138" s="1" t="s">
        <v>671</v>
      </c>
      <c r="H138" s="1" t="str">
        <f t="shared" ca="1" si="17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8"/>
        <v>createText</v>
      </c>
      <c r="K138" s="1" t="str">
        <f t="shared" si="14"/>
        <v>nameTXT</v>
      </c>
      <c r="L138" s="1"/>
      <c r="M138" s="1"/>
      <c r="N138" s="14" t="str">
        <f t="shared" ca="1" si="19"/>
        <v>MCText * contAchieve4NameTXT;</v>
      </c>
      <c r="O138" s="14" t="str">
        <f t="shared" ca="1" si="15"/>
        <v>contAchieve4NameTXT= contAchieve4-&gt;createText("nameTXT");</v>
      </c>
    </row>
    <row r="139" spans="1:15" x14ac:dyDescent="0.25">
      <c r="A139" s="1"/>
      <c r="B139" s="5" t="s">
        <v>154</v>
      </c>
      <c r="C139" s="1">
        <f t="shared" ca="1" si="16"/>
        <v>3</v>
      </c>
      <c r="D139" s="1" t="s">
        <v>316</v>
      </c>
      <c r="E139" s="1"/>
      <c r="F139" s="1"/>
      <c r="G139" s="1" t="s">
        <v>671</v>
      </c>
      <c r="H139" s="1" t="str">
        <f t="shared" ca="1" si="17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8"/>
        <v>createText</v>
      </c>
      <c r="K139" s="1" t="str">
        <f t="shared" si="14"/>
        <v>noteTXT</v>
      </c>
      <c r="L139" s="1"/>
      <c r="M139" s="1"/>
      <c r="N139" s="14" t="str">
        <f t="shared" ca="1" si="19"/>
        <v>MCText * contAchieve4NoteTXT;</v>
      </c>
      <c r="O139" s="14" t="str">
        <f t="shared" ca="1" si="15"/>
        <v>contAchieve4NoteTXT= contAchieve4-&gt;createText("noteTXT");</v>
      </c>
    </row>
    <row r="140" spans="1:15" x14ac:dyDescent="0.25">
      <c r="A140" s="1"/>
      <c r="B140" s="4" t="s">
        <v>445</v>
      </c>
      <c r="C140" s="1">
        <f t="shared" ca="1" si="16"/>
        <v>2</v>
      </c>
      <c r="D140" s="1" t="s">
        <v>316</v>
      </c>
      <c r="E140" s="1"/>
      <c r="F140" s="1"/>
      <c r="G140" s="1" t="s">
        <v>586</v>
      </c>
      <c r="H140" s="1" t="str">
        <f t="shared" ca="1" si="17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8"/>
        <v>createMovieClipSub</v>
      </c>
      <c r="K140" s="1" t="str">
        <f t="shared" si="14"/>
        <v>achieve5</v>
      </c>
      <c r="L140" s="1"/>
      <c r="M140" s="1"/>
      <c r="N140" s="14" t="str">
        <f t="shared" ca="1" si="19"/>
        <v>MovieClipSub * contAchieve5;</v>
      </c>
      <c r="O140" s="14" t="str">
        <f t="shared" ca="1" si="15"/>
        <v>contAchieve5= cont-&gt;createMovieClipSub("achieve5");</v>
      </c>
    </row>
    <row r="141" spans="1:15" x14ac:dyDescent="0.25">
      <c r="A141" s="1"/>
      <c r="B141" s="5" t="s">
        <v>431</v>
      </c>
      <c r="C141" s="1">
        <f t="shared" ca="1" si="16"/>
        <v>3</v>
      </c>
      <c r="D141" s="1" t="s">
        <v>316</v>
      </c>
      <c r="E141" s="1"/>
      <c r="F141" s="1"/>
      <c r="G141" s="1" t="s">
        <v>586</v>
      </c>
      <c r="H141" s="1" t="str">
        <f t="shared" ca="1" si="17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8"/>
        <v>createMovieClipSub</v>
      </c>
      <c r="K141" s="1" t="str">
        <f t="shared" si="14"/>
        <v>icon</v>
      </c>
      <c r="L141" s="1"/>
      <c r="M141" s="1"/>
      <c r="N141" s="14" t="str">
        <f t="shared" ca="1" si="19"/>
        <v>MovieClipSub * contAchieve5Icon;</v>
      </c>
      <c r="O141" s="14" t="str">
        <f t="shared" ca="1" si="15"/>
        <v>contAchieve5Icon= contAchieve5-&gt;createMovieClipSub("icon");</v>
      </c>
    </row>
    <row r="142" spans="1:15" x14ac:dyDescent="0.25">
      <c r="A142" s="1"/>
      <c r="B142" s="5" t="s">
        <v>104</v>
      </c>
      <c r="C142" s="1">
        <f t="shared" ca="1" si="16"/>
        <v>3</v>
      </c>
      <c r="D142" s="1" t="s">
        <v>316</v>
      </c>
      <c r="E142" s="1"/>
      <c r="F142" s="1"/>
      <c r="G142" s="1" t="s">
        <v>671</v>
      </c>
      <c r="H142" s="1" t="str">
        <f t="shared" ca="1" si="17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8"/>
        <v>createText</v>
      </c>
      <c r="K142" s="1" t="str">
        <f t="shared" si="14"/>
        <v>nameTXT</v>
      </c>
      <c r="L142" s="1"/>
      <c r="M142" s="1"/>
      <c r="N142" s="14" t="str">
        <f t="shared" ca="1" si="19"/>
        <v>MCText * contAchieve5NameTXT;</v>
      </c>
      <c r="O142" s="14" t="str">
        <f t="shared" ca="1" si="15"/>
        <v>contAchieve5NameTXT= contAchieve5-&gt;createText("nameTXT");</v>
      </c>
    </row>
    <row r="143" spans="1:15" x14ac:dyDescent="0.25">
      <c r="A143" s="1"/>
      <c r="B143" s="5" t="s">
        <v>154</v>
      </c>
      <c r="C143" s="1">
        <f t="shared" ca="1" si="16"/>
        <v>3</v>
      </c>
      <c r="D143" s="1" t="s">
        <v>316</v>
      </c>
      <c r="E143" s="1"/>
      <c r="F143" s="1"/>
      <c r="G143" s="1" t="s">
        <v>671</v>
      </c>
      <c r="H143" s="1" t="str">
        <f t="shared" ca="1" si="17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8"/>
        <v>createText</v>
      </c>
      <c r="K143" s="1" t="str">
        <f t="shared" si="14"/>
        <v>noteTXT</v>
      </c>
      <c r="L143" s="1"/>
      <c r="M143" s="1"/>
      <c r="N143" s="14" t="str">
        <f t="shared" ca="1" si="19"/>
        <v>MCText * contAchieve5NoteTXT;</v>
      </c>
      <c r="O143" s="14" t="str">
        <f t="shared" ca="1" si="15"/>
        <v>contAchieve5NoteTXT= contAchieve5-&gt;createText("noteTXT");</v>
      </c>
    </row>
    <row r="144" spans="1:15" x14ac:dyDescent="0.25">
      <c r="A144" s="1"/>
      <c r="B144" s="4" t="s">
        <v>446</v>
      </c>
      <c r="C144" s="1">
        <f t="shared" ca="1" si="16"/>
        <v>2</v>
      </c>
      <c r="D144" s="1" t="s">
        <v>316</v>
      </c>
      <c r="E144" s="1"/>
      <c r="F144" s="1"/>
      <c r="G144" s="1" t="s">
        <v>586</v>
      </c>
      <c r="H144" s="1" t="str">
        <f t="shared" ca="1" si="17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8"/>
        <v>createMovieClipSub</v>
      </c>
      <c r="K144" s="1" t="str">
        <f t="shared" si="14"/>
        <v>achieve6</v>
      </c>
      <c r="L144" s="1"/>
      <c r="M144" s="1"/>
      <c r="N144" s="14" t="str">
        <f t="shared" ca="1" si="19"/>
        <v>MovieClipSub * contAchieve6;</v>
      </c>
      <c r="O144" s="14" t="str">
        <f t="shared" ca="1" si="15"/>
        <v>contAchieve6= cont-&gt;createMovieClipSub("achieve6");</v>
      </c>
    </row>
    <row r="145" spans="1:15" x14ac:dyDescent="0.25">
      <c r="A145" s="1"/>
      <c r="B145" s="5" t="s">
        <v>431</v>
      </c>
      <c r="C145" s="1">
        <f t="shared" ca="1" si="16"/>
        <v>3</v>
      </c>
      <c r="D145" s="1" t="s">
        <v>316</v>
      </c>
      <c r="E145" s="1"/>
      <c r="F145" s="1"/>
      <c r="G145" s="1" t="s">
        <v>586</v>
      </c>
      <c r="H145" s="1" t="str">
        <f t="shared" ca="1" si="17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8"/>
        <v>createMovieClipSub</v>
      </c>
      <c r="K145" s="1" t="str">
        <f t="shared" si="14"/>
        <v>icon</v>
      </c>
      <c r="L145" s="1"/>
      <c r="M145" s="1"/>
      <c r="N145" s="14" t="str">
        <f t="shared" ca="1" si="19"/>
        <v>MovieClipSub * contAchieve6Icon;</v>
      </c>
      <c r="O145" s="14" t="str">
        <f t="shared" ca="1" si="15"/>
        <v>contAchieve6Icon= contAchieve6-&gt;createMovieClipSub("icon");</v>
      </c>
    </row>
    <row r="146" spans="1:15" x14ac:dyDescent="0.25">
      <c r="A146" s="1"/>
      <c r="B146" s="5" t="s">
        <v>104</v>
      </c>
      <c r="C146" s="1">
        <f t="shared" ca="1" si="16"/>
        <v>3</v>
      </c>
      <c r="D146" s="1" t="s">
        <v>316</v>
      </c>
      <c r="E146" s="1"/>
      <c r="F146" s="1"/>
      <c r="G146" s="1" t="s">
        <v>671</v>
      </c>
      <c r="H146" s="1" t="str">
        <f t="shared" ca="1" si="17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8"/>
        <v>createText</v>
      </c>
      <c r="K146" s="1" t="str">
        <f t="shared" si="14"/>
        <v>nameTXT</v>
      </c>
      <c r="L146" s="1"/>
      <c r="M146" s="1"/>
      <c r="N146" s="14" t="str">
        <f t="shared" ca="1" si="19"/>
        <v>MCText * contAchieve6NameTXT;</v>
      </c>
      <c r="O146" s="14" t="str">
        <f t="shared" ca="1" si="15"/>
        <v>contAchieve6NameTXT= contAchieve6-&gt;createText("nameTXT");</v>
      </c>
    </row>
    <row r="147" spans="1:15" x14ac:dyDescent="0.25">
      <c r="A147" s="1"/>
      <c r="B147" s="5" t="s">
        <v>154</v>
      </c>
      <c r="C147" s="1">
        <f t="shared" ca="1" si="16"/>
        <v>3</v>
      </c>
      <c r="D147" s="1" t="s">
        <v>316</v>
      </c>
      <c r="E147" s="1"/>
      <c r="F147" s="1"/>
      <c r="G147" s="1" t="s">
        <v>671</v>
      </c>
      <c r="H147" s="1" t="str">
        <f t="shared" ca="1" si="17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8"/>
        <v>createText</v>
      </c>
      <c r="K147" s="1" t="str">
        <f t="shared" si="14"/>
        <v>noteTXT</v>
      </c>
      <c r="L147" s="1"/>
      <c r="M147" s="1"/>
      <c r="N147" s="14" t="str">
        <f t="shared" ca="1" si="19"/>
        <v>MCText * contAchieve6NoteTXT;</v>
      </c>
      <c r="O147" s="14" t="str">
        <f t="shared" ca="1" si="15"/>
        <v>contAchieve6NoteTXT= contAchieve6-&gt;createText("noteTXT");</v>
      </c>
    </row>
    <row r="148" spans="1:15" x14ac:dyDescent="0.25">
      <c r="A148" s="1"/>
      <c r="B148" s="4" t="s">
        <v>447</v>
      </c>
      <c r="C148" s="1">
        <f t="shared" ca="1" si="16"/>
        <v>2</v>
      </c>
      <c r="D148" s="1" t="s">
        <v>316</v>
      </c>
      <c r="E148" s="1"/>
      <c r="F148" s="1"/>
      <c r="G148" s="1" t="s">
        <v>586</v>
      </c>
      <c r="H148" s="1" t="str">
        <f t="shared" ca="1" si="17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8"/>
        <v>createMovieClipSub</v>
      </c>
      <c r="K148" s="1" t="str">
        <f t="shared" si="14"/>
        <v>achieve7</v>
      </c>
      <c r="L148" s="1"/>
      <c r="M148" s="1"/>
      <c r="N148" s="14" t="str">
        <f t="shared" ca="1" si="19"/>
        <v>MovieClipSub * contAchieve7;</v>
      </c>
      <c r="O148" s="14" t="str">
        <f t="shared" ca="1" si="15"/>
        <v>contAchieve7= cont-&gt;createMovieClipSub("achieve7");</v>
      </c>
    </row>
    <row r="149" spans="1:15" x14ac:dyDescent="0.25">
      <c r="A149" s="1"/>
      <c r="B149" s="5" t="s">
        <v>431</v>
      </c>
      <c r="C149" s="1">
        <f t="shared" ca="1" si="16"/>
        <v>3</v>
      </c>
      <c r="D149" s="1" t="s">
        <v>316</v>
      </c>
      <c r="E149" s="1"/>
      <c r="F149" s="1"/>
      <c r="G149" s="1" t="s">
        <v>586</v>
      </c>
      <c r="H149" s="1" t="str">
        <f t="shared" ca="1" si="17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8"/>
        <v>createMovieClipSub</v>
      </c>
      <c r="K149" s="1" t="str">
        <f t="shared" si="14"/>
        <v>icon</v>
      </c>
      <c r="L149" s="1"/>
      <c r="M149" s="1"/>
      <c r="N149" s="14" t="str">
        <f t="shared" ca="1" si="19"/>
        <v>MovieClipSub * contAchieve7Icon;</v>
      </c>
      <c r="O149" s="14" t="str">
        <f t="shared" ca="1" si="15"/>
        <v>contAchieve7Icon= contAchieve7-&gt;createMovieClipSub("icon");</v>
      </c>
    </row>
    <row r="150" spans="1:15" x14ac:dyDescent="0.25">
      <c r="A150" s="1"/>
      <c r="B150" s="5" t="s">
        <v>104</v>
      </c>
      <c r="C150" s="1">
        <f t="shared" ca="1" si="16"/>
        <v>3</v>
      </c>
      <c r="D150" s="1" t="s">
        <v>316</v>
      </c>
      <c r="E150" s="1"/>
      <c r="F150" s="1"/>
      <c r="G150" s="1" t="s">
        <v>671</v>
      </c>
      <c r="H150" s="1" t="str">
        <f t="shared" ca="1" si="17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8"/>
        <v>createText</v>
      </c>
      <c r="K150" s="1" t="str">
        <f t="shared" si="14"/>
        <v>nameTXT</v>
      </c>
      <c r="L150" s="1"/>
      <c r="M150" s="1"/>
      <c r="N150" s="14" t="str">
        <f t="shared" ca="1" si="19"/>
        <v>MCText * contAchieve7NameTXT;</v>
      </c>
      <c r="O150" s="14" t="str">
        <f t="shared" ca="1" si="15"/>
        <v>contAchieve7NameTXT= contAchieve7-&gt;createText("nameTXT");</v>
      </c>
    </row>
    <row r="151" spans="1:15" x14ac:dyDescent="0.25">
      <c r="A151" s="1"/>
      <c r="B151" s="5" t="s">
        <v>154</v>
      </c>
      <c r="C151" s="1">
        <f t="shared" ca="1" si="16"/>
        <v>3</v>
      </c>
      <c r="D151" s="1" t="s">
        <v>316</v>
      </c>
      <c r="E151" s="1"/>
      <c r="F151" s="1"/>
      <c r="G151" s="1" t="s">
        <v>671</v>
      </c>
      <c r="H151" s="1" t="str">
        <f t="shared" ca="1" si="17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8"/>
        <v>createText</v>
      </c>
      <c r="K151" s="1" t="str">
        <f t="shared" si="14"/>
        <v>noteTXT</v>
      </c>
      <c r="L151" s="1"/>
      <c r="M151" s="1"/>
      <c r="N151" s="14" t="str">
        <f t="shared" ca="1" si="19"/>
        <v>MCText * contAchieve7NoteTXT;</v>
      </c>
      <c r="O151" s="14" t="str">
        <f t="shared" ca="1" si="15"/>
        <v>contAchieve7NoteTXT= contAchieve7-&gt;createText("noteTXT");</v>
      </c>
    </row>
    <row r="152" spans="1:15" x14ac:dyDescent="0.25">
      <c r="A152" s="1"/>
      <c r="B152" s="4" t="s">
        <v>448</v>
      </c>
      <c r="C152" s="1">
        <f t="shared" ca="1" si="16"/>
        <v>2</v>
      </c>
      <c r="D152" s="1" t="s">
        <v>316</v>
      </c>
      <c r="E152" s="1"/>
      <c r="F152" s="1"/>
      <c r="G152" s="1" t="s">
        <v>586</v>
      </c>
      <c r="H152" s="1" t="str">
        <f t="shared" ca="1" si="17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8"/>
        <v>createMovieClipSub</v>
      </c>
      <c r="K152" s="1" t="str">
        <f t="shared" si="14"/>
        <v>achieve8</v>
      </c>
      <c r="L152" s="1"/>
      <c r="M152" s="1"/>
      <c r="N152" s="14" t="str">
        <f t="shared" ca="1" si="19"/>
        <v>MovieClipSub * contAchieve8;</v>
      </c>
      <c r="O152" s="14" t="str">
        <f t="shared" ca="1" si="15"/>
        <v>contAchieve8= cont-&gt;createMovieClipSub("achieve8");</v>
      </c>
    </row>
    <row r="153" spans="1:15" x14ac:dyDescent="0.25">
      <c r="A153" s="1"/>
      <c r="B153" s="5" t="s">
        <v>431</v>
      </c>
      <c r="C153" s="1">
        <f t="shared" ca="1" si="16"/>
        <v>3</v>
      </c>
      <c r="D153" s="1" t="s">
        <v>316</v>
      </c>
      <c r="E153" s="1"/>
      <c r="F153" s="1"/>
      <c r="G153" s="1" t="s">
        <v>586</v>
      </c>
      <c r="H153" s="1" t="str">
        <f t="shared" ca="1" si="17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8"/>
        <v>createMovieClipSub</v>
      </c>
      <c r="K153" s="1" t="str">
        <f t="shared" si="14"/>
        <v>icon</v>
      </c>
      <c r="L153" s="1"/>
      <c r="M153" s="1"/>
      <c r="N153" s="14" t="str">
        <f t="shared" ca="1" si="19"/>
        <v>MovieClipSub * contAchieve8Icon;</v>
      </c>
      <c r="O153" s="14" t="str">
        <f t="shared" ca="1" si="15"/>
        <v>contAchieve8Icon= contAchieve8-&gt;createMovieClipSub("icon");</v>
      </c>
    </row>
    <row r="154" spans="1:15" x14ac:dyDescent="0.25">
      <c r="A154" s="1"/>
      <c r="B154" s="5" t="s">
        <v>104</v>
      </c>
      <c r="C154" s="1">
        <f t="shared" ca="1" si="16"/>
        <v>3</v>
      </c>
      <c r="D154" s="1" t="s">
        <v>316</v>
      </c>
      <c r="E154" s="1"/>
      <c r="F154" s="1"/>
      <c r="G154" s="1" t="s">
        <v>671</v>
      </c>
      <c r="H154" s="1" t="str">
        <f t="shared" ca="1" si="17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8"/>
        <v>createText</v>
      </c>
      <c r="K154" s="1" t="str">
        <f t="shared" si="14"/>
        <v>nameTXT</v>
      </c>
      <c r="L154" s="1"/>
      <c r="M154" s="1"/>
      <c r="N154" s="14" t="str">
        <f t="shared" ca="1" si="19"/>
        <v>MCText * contAchieve8NameTXT;</v>
      </c>
      <c r="O154" s="14" t="str">
        <f t="shared" ca="1" si="15"/>
        <v>contAchieve8NameTXT= contAchieve8-&gt;createText("nameTXT");</v>
      </c>
    </row>
    <row r="155" spans="1:15" x14ac:dyDescent="0.25">
      <c r="A155" s="1"/>
      <c r="B155" s="5" t="s">
        <v>154</v>
      </c>
      <c r="C155" s="1">
        <f t="shared" ca="1" si="16"/>
        <v>3</v>
      </c>
      <c r="D155" s="1" t="s">
        <v>316</v>
      </c>
      <c r="E155" s="1"/>
      <c r="F155" s="1"/>
      <c r="G155" s="1" t="s">
        <v>671</v>
      </c>
      <c r="H155" s="1" t="str">
        <f t="shared" ca="1" si="17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8"/>
        <v>createText</v>
      </c>
      <c r="K155" s="1" t="str">
        <f t="shared" si="14"/>
        <v>noteTXT</v>
      </c>
      <c r="L155" s="1"/>
      <c r="M155" s="1"/>
      <c r="N155" s="14" t="str">
        <f t="shared" ca="1" si="19"/>
        <v>MCText * contAchieve8NoteTXT;</v>
      </c>
      <c r="O155" s="14" t="str">
        <f t="shared" ca="1" si="15"/>
        <v>contAchieve8NoteTXT= contAchieve8-&gt;createText("noteTXT");</v>
      </c>
    </row>
    <row r="156" spans="1:15" x14ac:dyDescent="0.25">
      <c r="A156" s="1"/>
      <c r="B156" s="4" t="s">
        <v>449</v>
      </c>
      <c r="C156" s="1">
        <f t="shared" ca="1" si="16"/>
        <v>2</v>
      </c>
      <c r="D156" s="1" t="s">
        <v>316</v>
      </c>
      <c r="E156" s="1"/>
      <c r="F156" s="1"/>
      <c r="G156" s="1" t="s">
        <v>586</v>
      </c>
      <c r="H156" s="1" t="str">
        <f t="shared" ca="1" si="17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8"/>
        <v>createMovieClipSub</v>
      </c>
      <c r="K156" s="1" t="str">
        <f t="shared" si="14"/>
        <v>achieve9</v>
      </c>
      <c r="L156" s="1"/>
      <c r="M156" s="1"/>
      <c r="N156" s="14" t="str">
        <f t="shared" ca="1" si="19"/>
        <v>MovieClipSub * contAchieve9;</v>
      </c>
      <c r="O156" s="14" t="str">
        <f t="shared" ca="1" si="15"/>
        <v>contAchieve9= cont-&gt;createMovieClipSub("achieve9");</v>
      </c>
    </row>
    <row r="157" spans="1:15" x14ac:dyDescent="0.25">
      <c r="A157" s="1"/>
      <c r="B157" s="5" t="s">
        <v>431</v>
      </c>
      <c r="C157" s="1">
        <f t="shared" ca="1" si="16"/>
        <v>3</v>
      </c>
      <c r="D157" s="1" t="s">
        <v>316</v>
      </c>
      <c r="E157" s="1"/>
      <c r="F157" s="1"/>
      <c r="G157" s="1" t="s">
        <v>586</v>
      </c>
      <c r="H157" s="1" t="str">
        <f t="shared" ca="1" si="17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8"/>
        <v>createMovieClipSub</v>
      </c>
      <c r="K157" s="1" t="str">
        <f t="shared" si="14"/>
        <v>icon</v>
      </c>
      <c r="L157" s="1"/>
      <c r="M157" s="1"/>
      <c r="N157" s="14" t="str">
        <f t="shared" ca="1" si="19"/>
        <v>MovieClipSub * contAchieve9Icon;</v>
      </c>
      <c r="O157" s="14" t="str">
        <f t="shared" ca="1" si="15"/>
        <v>contAchieve9Icon= contAchieve9-&gt;createMovieClipSub("icon");</v>
      </c>
    </row>
    <row r="158" spans="1:15" x14ac:dyDescent="0.25">
      <c r="A158" s="1"/>
      <c r="B158" s="5" t="s">
        <v>104</v>
      </c>
      <c r="C158" s="1">
        <f t="shared" ca="1" si="16"/>
        <v>3</v>
      </c>
      <c r="D158" s="1" t="s">
        <v>316</v>
      </c>
      <c r="E158" s="1"/>
      <c r="F158" s="1"/>
      <c r="G158" s="1" t="s">
        <v>671</v>
      </c>
      <c r="H158" s="1" t="str">
        <f t="shared" ca="1" si="17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8"/>
        <v>createText</v>
      </c>
      <c r="K158" s="1" t="str">
        <f t="shared" si="14"/>
        <v>nameTXT</v>
      </c>
      <c r="L158" s="1"/>
      <c r="M158" s="1"/>
      <c r="N158" s="14" t="str">
        <f t="shared" ca="1" si="19"/>
        <v>MCText * contAchieve9NameTXT;</v>
      </c>
      <c r="O158" s="14" t="str">
        <f t="shared" ca="1" si="15"/>
        <v>contAchieve9NameTXT= contAchieve9-&gt;createText("nameTXT");</v>
      </c>
    </row>
    <row r="159" spans="1:15" x14ac:dyDescent="0.25">
      <c r="A159" s="1"/>
      <c r="B159" s="5" t="s">
        <v>154</v>
      </c>
      <c r="C159" s="1">
        <f t="shared" ca="1" si="16"/>
        <v>3</v>
      </c>
      <c r="D159" s="1" t="s">
        <v>316</v>
      </c>
      <c r="E159" s="1"/>
      <c r="F159" s="1"/>
      <c r="G159" s="1" t="s">
        <v>671</v>
      </c>
      <c r="H159" s="1" t="str">
        <f t="shared" ca="1" si="17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8"/>
        <v>createText</v>
      </c>
      <c r="K159" s="1" t="str">
        <f t="shared" si="14"/>
        <v>noteTXT</v>
      </c>
      <c r="L159" s="1"/>
      <c r="M159" s="1"/>
      <c r="N159" s="14" t="str">
        <f t="shared" ca="1" si="19"/>
        <v>MCText * contAchieve9NoteTXT;</v>
      </c>
      <c r="O159" s="14" t="str">
        <f t="shared" ca="1" si="15"/>
        <v>contAchieve9NoteTXT= contAchieve9-&gt;createText("noteTXT");</v>
      </c>
    </row>
    <row r="160" spans="1:15" x14ac:dyDescent="0.25">
      <c r="A160" s="1"/>
      <c r="B160" s="4" t="s">
        <v>450</v>
      </c>
      <c r="C160" s="1">
        <f t="shared" ca="1" si="16"/>
        <v>2</v>
      </c>
      <c r="D160" s="1" t="s">
        <v>316</v>
      </c>
      <c r="E160" s="1"/>
      <c r="F160" s="1"/>
      <c r="G160" s="1" t="s">
        <v>586</v>
      </c>
      <c r="H160" s="1" t="str">
        <f t="shared" ca="1" si="17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8"/>
        <v>createMovieClipSub</v>
      </c>
      <c r="K160" s="1" t="str">
        <f t="shared" si="14"/>
        <v>achieve10</v>
      </c>
      <c r="L160" s="1"/>
      <c r="M160" s="1"/>
      <c r="N160" s="14" t="str">
        <f t="shared" ca="1" si="19"/>
        <v>MovieClipSub * contAchieve10;</v>
      </c>
      <c r="O160" s="14" t="str">
        <f t="shared" ca="1" si="15"/>
        <v>contAchieve10= cont-&gt;createMovieClipSub("achieve10");</v>
      </c>
    </row>
    <row r="161" spans="1:15" x14ac:dyDescent="0.25">
      <c r="A161" s="1"/>
      <c r="B161" s="5" t="s">
        <v>431</v>
      </c>
      <c r="C161" s="1">
        <f t="shared" ca="1" si="16"/>
        <v>3</v>
      </c>
      <c r="D161" s="1" t="s">
        <v>316</v>
      </c>
      <c r="E161" s="1"/>
      <c r="F161" s="1"/>
      <c r="G161" s="1" t="s">
        <v>586</v>
      </c>
      <c r="H161" s="1" t="str">
        <f t="shared" ca="1" si="17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8"/>
        <v>createMovieClipSub</v>
      </c>
      <c r="K161" s="1" t="str">
        <f t="shared" si="14"/>
        <v>icon</v>
      </c>
      <c r="L161" s="1"/>
      <c r="M161" s="1"/>
      <c r="N161" s="14" t="str">
        <f t="shared" ca="1" si="19"/>
        <v>MovieClipSub * contAchieve10Icon;</v>
      </c>
      <c r="O161" s="14" t="str">
        <f t="shared" ca="1" si="15"/>
        <v>contAchieve10Icon= contAchieve10-&gt;createMovieClipSub("icon");</v>
      </c>
    </row>
    <row r="162" spans="1:15" x14ac:dyDescent="0.25">
      <c r="A162" s="1"/>
      <c r="B162" s="5" t="s">
        <v>104</v>
      </c>
      <c r="C162" s="1">
        <f t="shared" ca="1" si="16"/>
        <v>3</v>
      </c>
      <c r="D162" s="1" t="s">
        <v>316</v>
      </c>
      <c r="E162" s="1"/>
      <c r="F162" s="1"/>
      <c r="G162" s="1" t="s">
        <v>671</v>
      </c>
      <c r="H162" s="1" t="str">
        <f t="shared" ca="1" si="17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8"/>
        <v>createText</v>
      </c>
      <c r="K162" s="1" t="str">
        <f t="shared" si="14"/>
        <v>nameTXT</v>
      </c>
      <c r="L162" s="1"/>
      <c r="M162" s="1"/>
      <c r="N162" s="14" t="str">
        <f t="shared" ca="1" si="19"/>
        <v>MCText * contAchieve10NameTXT;</v>
      </c>
      <c r="O162" s="14" t="str">
        <f t="shared" ca="1" si="15"/>
        <v>contAchieve10NameTXT= contAchieve10-&gt;createText("nameTXT");</v>
      </c>
    </row>
    <row r="163" spans="1:15" x14ac:dyDescent="0.25">
      <c r="A163" s="1"/>
      <c r="B163" s="5" t="s">
        <v>154</v>
      </c>
      <c r="C163" s="1">
        <f t="shared" ca="1" si="16"/>
        <v>3</v>
      </c>
      <c r="D163" s="1" t="s">
        <v>316</v>
      </c>
      <c r="E163" s="1"/>
      <c r="F163" s="1"/>
      <c r="G163" s="1" t="s">
        <v>671</v>
      </c>
      <c r="H163" s="1" t="str">
        <f t="shared" ca="1" si="17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8"/>
        <v>createText</v>
      </c>
      <c r="K163" s="1" t="str">
        <f t="shared" si="14"/>
        <v>noteTXT</v>
      </c>
      <c r="L163" s="1"/>
      <c r="M163" s="1"/>
      <c r="N163" s="14" t="str">
        <f t="shared" ca="1" si="19"/>
        <v>MCText * contAchieve10NoteTXT;</v>
      </c>
      <c r="O163" s="14" t="str">
        <f t="shared" ca="1" si="15"/>
        <v>contAchieve10NoteTXT= contAchieve10-&gt;createText("noteTXT");</v>
      </c>
    </row>
    <row r="164" spans="1:15" x14ac:dyDescent="0.25">
      <c r="A164" s="1"/>
      <c r="B164" s="4" t="s">
        <v>451</v>
      </c>
      <c r="C164" s="1">
        <f t="shared" ca="1" si="16"/>
        <v>2</v>
      </c>
      <c r="D164" s="1" t="s">
        <v>316</v>
      </c>
      <c r="E164" s="1"/>
      <c r="F164" s="1"/>
      <c r="G164" s="1" t="s">
        <v>586</v>
      </c>
      <c r="H164" s="1" t="str">
        <f t="shared" ca="1" si="17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8"/>
        <v>createMovieClipSub</v>
      </c>
      <c r="K164" s="1" t="str">
        <f t="shared" si="14"/>
        <v>btnBack</v>
      </c>
      <c r="L164" s="1"/>
      <c r="M164" s="1"/>
      <c r="N164" s="14" t="str">
        <f t="shared" ca="1" si="19"/>
        <v>MovieClipSub * contBtnBack;</v>
      </c>
      <c r="O164" s="14" t="str">
        <f t="shared" ca="1" si="15"/>
        <v>contBtnBack= cont-&gt;createMovieClipSub("btnBack");</v>
      </c>
    </row>
    <row r="165" spans="1:15" x14ac:dyDescent="0.25">
      <c r="A165" s="1"/>
      <c r="B165" s="5" t="s">
        <v>452</v>
      </c>
      <c r="C165" s="1">
        <f t="shared" ca="1" si="16"/>
        <v>3</v>
      </c>
      <c r="D165" s="1" t="s">
        <v>316</v>
      </c>
      <c r="E165" s="1"/>
      <c r="F165" s="1"/>
      <c r="G165" s="1" t="s">
        <v>669</v>
      </c>
      <c r="H165" s="1" t="str">
        <f t="shared" ca="1" si="17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8"/>
        <v>createCase</v>
      </c>
      <c r="K165" s="1" t="str">
        <f t="shared" si="14"/>
        <v>arrowCase</v>
      </c>
      <c r="L165" s="1"/>
      <c r="M165" s="1"/>
      <c r="N165" s="14" t="str">
        <f t="shared" ca="1" si="19"/>
        <v>MCCase * contBtnBackArrowCase;</v>
      </c>
      <c r="O165" s="14" t="str">
        <f t="shared" ca="1" si="15"/>
        <v>contBtnBackArrowCase= contBtnBack-&gt;createCase("arrowCase");</v>
      </c>
    </row>
    <row r="166" spans="1:15" x14ac:dyDescent="0.25">
      <c r="A166" s="1"/>
      <c r="B166" s="4" t="s">
        <v>453</v>
      </c>
      <c r="C166" s="1">
        <f t="shared" ca="1" si="16"/>
        <v>2</v>
      </c>
      <c r="D166" s="1" t="s">
        <v>316</v>
      </c>
      <c r="E166" s="1"/>
      <c r="F166" s="1"/>
      <c r="G166" s="1" t="s">
        <v>586</v>
      </c>
      <c r="H166" s="1" t="str">
        <f t="shared" ca="1" si="17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8"/>
        <v>createMovieClipSub</v>
      </c>
      <c r="K166" s="1" t="str">
        <f t="shared" si="14"/>
        <v>btnForward</v>
      </c>
      <c r="L166" s="1"/>
      <c r="M166" s="1"/>
      <c r="N166" s="14" t="str">
        <f t="shared" ca="1" si="19"/>
        <v>MovieClipSub * contBtnForward;</v>
      </c>
      <c r="O166" s="14" t="str">
        <f t="shared" ca="1" si="15"/>
        <v>contBtnForward= cont-&gt;createMovieClipSub("btnForward");</v>
      </c>
    </row>
    <row r="167" spans="1:15" x14ac:dyDescent="0.25">
      <c r="A167" s="1"/>
      <c r="B167" s="5" t="s">
        <v>452</v>
      </c>
      <c r="C167" s="1">
        <f t="shared" ca="1" si="16"/>
        <v>3</v>
      </c>
      <c r="D167" s="1" t="s">
        <v>316</v>
      </c>
      <c r="E167" s="1"/>
      <c r="F167" s="1"/>
      <c r="G167" s="1" t="s">
        <v>669</v>
      </c>
      <c r="H167" s="1" t="str">
        <f t="shared" ca="1" si="17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8"/>
        <v>createCase</v>
      </c>
      <c r="K167" s="1" t="str">
        <f t="shared" si="14"/>
        <v>arrowCase</v>
      </c>
      <c r="L167" s="1"/>
      <c r="M167" s="1"/>
      <c r="N167" s="14" t="str">
        <f t="shared" ca="1" si="19"/>
        <v>MCCase * contBtnForwardArrowCase;</v>
      </c>
      <c r="O167" s="14" t="str">
        <f t="shared" ca="1" si="15"/>
        <v>contBtnForwardArrowCase= contBtnForward-&gt;createCase("arrowCase");</v>
      </c>
    </row>
    <row r="168" spans="1:15" x14ac:dyDescent="0.25">
      <c r="A168" s="1"/>
      <c r="B168" s="4" t="s">
        <v>454</v>
      </c>
      <c r="C168" s="1">
        <f t="shared" ca="1" si="16"/>
        <v>2</v>
      </c>
      <c r="D168" s="1" t="s">
        <v>316</v>
      </c>
      <c r="E168" s="1"/>
      <c r="F168" s="1"/>
      <c r="G168" s="1" t="s">
        <v>586</v>
      </c>
      <c r="H168" s="1" t="str">
        <f t="shared" ca="1" si="17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8"/>
        <v>createMovieClipSub</v>
      </c>
      <c r="K168" s="1" t="str">
        <f t="shared" si="14"/>
        <v>btnClose</v>
      </c>
      <c r="L168" s="1"/>
      <c r="M168" s="1"/>
      <c r="N168" s="14" t="str">
        <f t="shared" ca="1" si="19"/>
        <v>MovieClipSub * contBtnClose;</v>
      </c>
      <c r="O168" s="14" t="str">
        <f t="shared" ca="1" si="15"/>
        <v>contBtnClose= cont-&gt;createMovieClipSub("btnClose");</v>
      </c>
    </row>
    <row r="169" spans="1:15" x14ac:dyDescent="0.25">
      <c r="A169" s="1"/>
      <c r="B169" s="5" t="s">
        <v>455</v>
      </c>
      <c r="C169" s="1">
        <f t="shared" ca="1" si="16"/>
        <v>3</v>
      </c>
      <c r="D169" s="1" t="s">
        <v>316</v>
      </c>
      <c r="E169" s="1"/>
      <c r="F169" s="1"/>
      <c r="G169" s="1" t="s">
        <v>669</v>
      </c>
      <c r="H169" s="1" t="str">
        <f t="shared" ca="1" si="17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8"/>
        <v>createCase</v>
      </c>
      <c r="K169" s="1" t="str">
        <f t="shared" si="14"/>
        <v>closeCase</v>
      </c>
      <c r="L169" s="1"/>
      <c r="M169" s="1"/>
      <c r="N169" s="14" t="str">
        <f t="shared" ca="1" si="19"/>
        <v>MCCase * contBtnCloseCloseCase;</v>
      </c>
      <c r="O169" s="14" t="str">
        <f t="shared" ca="1" si="15"/>
        <v>contBtnCloseCloseCase= contBtnClose-&gt;createCase("closeCase");</v>
      </c>
    </row>
    <row r="170" spans="1:15" x14ac:dyDescent="0.25">
      <c r="A170" s="1"/>
      <c r="B170" s="4" t="s">
        <v>456</v>
      </c>
      <c r="C170" s="1">
        <f t="shared" ca="1" si="16"/>
        <v>2</v>
      </c>
      <c r="D170" s="1" t="s">
        <v>316</v>
      </c>
      <c r="E170" s="1"/>
      <c r="F170" s="1"/>
      <c r="G170" s="1" t="s">
        <v>586</v>
      </c>
      <c r="H170" s="1" t="str">
        <f t="shared" ca="1" si="17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8"/>
        <v>createMovieClipSub</v>
      </c>
      <c r="K170" s="1" t="str">
        <f t="shared" si="14"/>
        <v>fire1</v>
      </c>
      <c r="L170" s="1"/>
      <c r="M170" s="1"/>
      <c r="N170" s="14" t="str">
        <f t="shared" ca="1" si="19"/>
        <v>MovieClipSub * contFire1;</v>
      </c>
      <c r="O170" s="14" t="str">
        <f t="shared" ca="1" si="15"/>
        <v>contFire1= cont-&gt;createMovieClipSub("fire1");</v>
      </c>
    </row>
    <row r="171" spans="1:15" x14ac:dyDescent="0.25">
      <c r="A171" s="1"/>
      <c r="B171" s="4" t="s">
        <v>457</v>
      </c>
      <c r="C171" s="1">
        <f t="shared" ca="1" si="16"/>
        <v>2</v>
      </c>
      <c r="D171" s="1" t="s">
        <v>316</v>
      </c>
      <c r="E171" s="1"/>
      <c r="F171" s="1"/>
      <c r="G171" s="1" t="s">
        <v>586</v>
      </c>
      <c r="H171" s="1" t="str">
        <f t="shared" ca="1" si="17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8"/>
        <v>createMovieClipSub</v>
      </c>
      <c r="K171" s="1" t="str">
        <f t="shared" si="14"/>
        <v>fire2</v>
      </c>
      <c r="L171" s="1"/>
      <c r="M171" s="1"/>
      <c r="N171" s="14" t="str">
        <f t="shared" ca="1" si="19"/>
        <v>MovieClipSub * contFire2;</v>
      </c>
      <c r="O171" s="14" t="str">
        <f t="shared" ca="1" si="15"/>
        <v>contFire2= cont-&gt;createMovieClipSub("fire2");</v>
      </c>
    </row>
    <row r="172" spans="1:15" x14ac:dyDescent="0.25">
      <c r="A172" s="1"/>
      <c r="B172" s="4" t="s">
        <v>458</v>
      </c>
      <c r="C172" s="1">
        <f t="shared" ca="1" si="16"/>
        <v>2</v>
      </c>
      <c r="D172" s="1" t="s">
        <v>316</v>
      </c>
      <c r="E172" s="1"/>
      <c r="F172" s="1"/>
      <c r="G172" s="1" t="s">
        <v>586</v>
      </c>
      <c r="H172" s="1" t="str">
        <f t="shared" ca="1" si="17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8"/>
        <v>createMovieClipSub</v>
      </c>
      <c r="K172" s="1" t="str">
        <f t="shared" si="14"/>
        <v>fire3</v>
      </c>
      <c r="L172" s="1"/>
      <c r="M172" s="1"/>
      <c r="N172" s="14" t="str">
        <f t="shared" ca="1" si="19"/>
        <v>MovieClipSub * contFire3;</v>
      </c>
      <c r="O172" s="14" t="str">
        <f t="shared" ca="1" si="15"/>
        <v>contFire3= cont-&gt;createMovieClipSub("fire3");</v>
      </c>
    </row>
    <row r="173" spans="1:15" x14ac:dyDescent="0.25">
      <c r="A173" s="1"/>
      <c r="B173" s="4" t="s">
        <v>459</v>
      </c>
      <c r="C173" s="1">
        <f t="shared" ca="1" si="16"/>
        <v>2</v>
      </c>
      <c r="D173" s="1" t="s">
        <v>316</v>
      </c>
      <c r="E173" s="1"/>
      <c r="F173" s="1"/>
      <c r="G173" s="1" t="s">
        <v>586</v>
      </c>
      <c r="H173" s="1" t="str">
        <f t="shared" ca="1" si="17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8"/>
        <v>createMovieClipSub</v>
      </c>
      <c r="K173" s="1" t="str">
        <f t="shared" si="14"/>
        <v>fire4</v>
      </c>
      <c r="L173" s="1"/>
      <c r="M173" s="1"/>
      <c r="N173" s="14" t="str">
        <f t="shared" ca="1" si="19"/>
        <v>MovieClipSub * contFire4;</v>
      </c>
      <c r="O173" s="14" t="str">
        <f t="shared" ca="1" si="15"/>
        <v>contFire4= cont-&gt;createMovieClipSub("fire4");</v>
      </c>
    </row>
    <row r="174" spans="1:15" x14ac:dyDescent="0.25">
      <c r="A174" s="1"/>
      <c r="B174" s="4" t="s">
        <v>460</v>
      </c>
      <c r="C174" s="1">
        <f t="shared" ca="1" si="16"/>
        <v>2</v>
      </c>
      <c r="D174" s="1" t="s">
        <v>316</v>
      </c>
      <c r="E174" s="1"/>
      <c r="F174" s="1"/>
      <c r="G174" s="1" t="s">
        <v>616</v>
      </c>
      <c r="H174" s="1" t="str">
        <f t="shared" ca="1" si="17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8"/>
        <v>createMovieClipSub</v>
      </c>
      <c r="K174" s="1" t="str">
        <f t="shared" si="14"/>
        <v>fire5</v>
      </c>
      <c r="L174" s="1"/>
      <c r="M174" s="1"/>
      <c r="N174" s="14" t="str">
        <f t="shared" ca="1" si="19"/>
        <v>MovieClipSub * contFire5;</v>
      </c>
      <c r="O174" s="14" t="str">
        <f t="shared" ca="1" si="15"/>
        <v>contFire5= cont-&gt;createMovieClipSub("fire5");</v>
      </c>
    </row>
    <row r="175" spans="1:15" x14ac:dyDescent="0.25">
      <c r="A175" s="1"/>
      <c r="B175" s="4" t="s">
        <v>461</v>
      </c>
      <c r="C175" s="1">
        <f t="shared" ca="1" si="16"/>
        <v>2</v>
      </c>
      <c r="D175" s="1" t="s">
        <v>316</v>
      </c>
      <c r="E175" s="1"/>
      <c r="F175" s="1"/>
      <c r="G175" s="1" t="s">
        <v>669</v>
      </c>
      <c r="H175" s="1" t="str">
        <f t="shared" ca="1" si="17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8"/>
        <v>createCase</v>
      </c>
      <c r="K175" s="1" t="str">
        <f t="shared" si="14"/>
        <v>fire1Case</v>
      </c>
      <c r="L175" s="1"/>
      <c r="M175" s="1"/>
      <c r="N175" s="14" t="str">
        <f t="shared" ca="1" si="19"/>
        <v>MCCase * contFire1Case;</v>
      </c>
      <c r="O175" s="14" t="str">
        <f t="shared" ca="1" si="15"/>
        <v>contFire1Case= cont-&gt;createCase("fire1Case");</v>
      </c>
    </row>
    <row r="176" spans="1:15" x14ac:dyDescent="0.25">
      <c r="A176" s="1"/>
      <c r="B176" s="4" t="s">
        <v>462</v>
      </c>
      <c r="C176" s="1">
        <f t="shared" ca="1" si="16"/>
        <v>2</v>
      </c>
      <c r="D176" s="1" t="s">
        <v>316</v>
      </c>
      <c r="E176" s="1"/>
      <c r="F176" s="1"/>
      <c r="G176" s="1" t="s">
        <v>669</v>
      </c>
      <c r="H176" s="1" t="str">
        <f t="shared" ca="1" si="17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8"/>
        <v>createCase</v>
      </c>
      <c r="K176" s="1" t="str">
        <f t="shared" si="14"/>
        <v>fire2Case</v>
      </c>
      <c r="L176" s="1"/>
      <c r="M176" s="1"/>
      <c r="N176" s="14" t="str">
        <f t="shared" ca="1" si="19"/>
        <v>MCCase * contFire2Case;</v>
      </c>
      <c r="O176" s="14" t="str">
        <f t="shared" ca="1" si="15"/>
        <v>contFire2Case= cont-&gt;createCase("fire2Case");</v>
      </c>
    </row>
    <row r="177" spans="1:15" x14ac:dyDescent="0.25">
      <c r="A177" s="1"/>
      <c r="B177" s="4" t="s">
        <v>463</v>
      </c>
      <c r="C177" s="1">
        <f t="shared" ca="1" si="16"/>
        <v>2</v>
      </c>
      <c r="D177" s="1" t="s">
        <v>316</v>
      </c>
      <c r="E177" s="1"/>
      <c r="F177" s="1"/>
      <c r="G177" s="1" t="s">
        <v>669</v>
      </c>
      <c r="H177" s="1" t="str">
        <f t="shared" ca="1" si="17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8"/>
        <v>createCase</v>
      </c>
      <c r="K177" s="1" t="str">
        <f t="shared" si="14"/>
        <v>fire3Case</v>
      </c>
      <c r="L177" s="1"/>
      <c r="M177" s="1"/>
      <c r="N177" s="14" t="str">
        <f t="shared" ca="1" si="19"/>
        <v>MCCase * contFire3Case;</v>
      </c>
      <c r="O177" s="14" t="str">
        <f t="shared" ca="1" si="15"/>
        <v>contFire3Case= cont-&gt;createCase("fire3Case");</v>
      </c>
    </row>
    <row r="178" spans="1:15" x14ac:dyDescent="0.25">
      <c r="A178" s="1"/>
      <c r="B178" s="4" t="s">
        <v>464</v>
      </c>
      <c r="C178" s="1">
        <f t="shared" ca="1" si="16"/>
        <v>2</v>
      </c>
      <c r="D178" s="1" t="s">
        <v>316</v>
      </c>
      <c r="E178" s="1"/>
      <c r="F178" s="1"/>
      <c r="G178" s="1" t="s">
        <v>669</v>
      </c>
      <c r="H178" s="1" t="str">
        <f t="shared" ca="1" si="17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8"/>
        <v>createCase</v>
      </c>
      <c r="K178" s="1" t="str">
        <f t="shared" si="14"/>
        <v>fire4Case</v>
      </c>
      <c r="L178" s="1"/>
      <c r="M178" s="1"/>
      <c r="N178" s="14" t="str">
        <f t="shared" ca="1" si="19"/>
        <v>MCCase * contFire4Case;</v>
      </c>
      <c r="O178" s="14" t="str">
        <f t="shared" ca="1" si="15"/>
        <v>contFire4Case= cont-&gt;createCase("fire4Case");</v>
      </c>
    </row>
    <row r="179" spans="1:15" x14ac:dyDescent="0.25">
      <c r="A179" s="1"/>
      <c r="B179" s="4" t="s">
        <v>465</v>
      </c>
      <c r="C179" s="1">
        <f t="shared" ca="1" si="16"/>
        <v>2</v>
      </c>
      <c r="D179" s="1" t="s">
        <v>316</v>
      </c>
      <c r="E179" s="1"/>
      <c r="F179" s="1"/>
      <c r="G179" s="1" t="s">
        <v>669</v>
      </c>
      <c r="H179" s="1" t="str">
        <f t="shared" ca="1" si="17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8"/>
        <v>createCase</v>
      </c>
      <c r="K179" s="1" t="str">
        <f t="shared" si="14"/>
        <v>fire5Case</v>
      </c>
      <c r="L179" s="1"/>
      <c r="M179" s="1"/>
      <c r="N179" s="14" t="str">
        <f t="shared" ca="1" si="19"/>
        <v>MCCase * contFire5Case;</v>
      </c>
      <c r="O179" s="14" t="str">
        <f t="shared" ca="1" si="15"/>
        <v>contFire5Case= cont-&gt;createCase("fire5Case");</v>
      </c>
    </row>
    <row r="180" spans="1:15" x14ac:dyDescent="0.25">
      <c r="A180" s="1"/>
      <c r="B180" s="4" t="s">
        <v>466</v>
      </c>
      <c r="C180" s="1">
        <f t="shared" ca="1" si="16"/>
        <v>2</v>
      </c>
      <c r="D180" s="1" t="s">
        <v>316</v>
      </c>
      <c r="E180" s="1"/>
      <c r="F180" s="1"/>
      <c r="G180" s="1" t="s">
        <v>669</v>
      </c>
      <c r="H180" s="1" t="str">
        <f t="shared" ca="1" si="17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8"/>
        <v>createCase</v>
      </c>
      <c r="K180" s="1" t="str">
        <f t="shared" si="14"/>
        <v>fire6Case</v>
      </c>
      <c r="L180" s="1"/>
      <c r="M180" s="1"/>
      <c r="N180" s="14" t="str">
        <f t="shared" ca="1" si="19"/>
        <v>MCCase * contFire6Case;</v>
      </c>
      <c r="O180" s="14" t="str">
        <f t="shared" ca="1" si="15"/>
        <v>contFire6Case= cont-&gt;createCase("fire6Case");</v>
      </c>
    </row>
    <row r="181" spans="1:15" s="18" customFormat="1" x14ac:dyDescent="0.25">
      <c r="A181" s="17" t="s">
        <v>468</v>
      </c>
      <c r="B181" s="17" t="s">
        <v>467</v>
      </c>
      <c r="C181" s="1">
        <f t="shared" ca="1" si="16"/>
        <v>0</v>
      </c>
      <c r="D181" s="1" t="s">
        <v>316</v>
      </c>
      <c r="E181" s="17"/>
      <c r="F181" s="17"/>
      <c r="G181" s="17"/>
      <c r="H181" s="1" t="str">
        <f t="shared" ca="1" si="17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8"/>
        <v>create</v>
      </c>
      <c r="K181" s="1" t="str">
        <f t="shared" si="14"/>
        <v>Credits_mc</v>
      </c>
      <c r="L181" s="17"/>
      <c r="M181" s="17"/>
      <c r="N181" s="14" t="str">
        <f t="shared" ca="1" si="19"/>
        <v/>
      </c>
      <c r="O181" s="14" t="str">
        <f t="shared" ca="1" si="15"/>
        <v>Credits_mc::Credits_mc:("screen/","Credits_mc","Credits_mc"{)</v>
      </c>
    </row>
    <row r="182" spans="1:15" s="18" customFormat="1" x14ac:dyDescent="0.25">
      <c r="A182" s="17"/>
      <c r="B182" s="19" t="s">
        <v>364</v>
      </c>
      <c r="C182" s="1">
        <f t="shared" ca="1" si="16"/>
        <v>1</v>
      </c>
      <c r="D182" s="1" t="s">
        <v>316</v>
      </c>
      <c r="E182" s="17"/>
      <c r="F182" s="17"/>
      <c r="G182" s="17" t="s">
        <v>586</v>
      </c>
      <c r="H182" s="1" t="str">
        <f t="shared" ca="1" si="17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8"/>
        <v>createMovieClipSub</v>
      </c>
      <c r="K182" s="1" t="str">
        <f t="shared" si="14"/>
        <v>shadow</v>
      </c>
      <c r="L182" s="17"/>
      <c r="M182" s="17"/>
      <c r="N182" s="14" t="str">
        <f t="shared" ca="1" si="19"/>
        <v>MovieClipSub * shadow;</v>
      </c>
      <c r="O182" s="14" t="str">
        <f t="shared" ca="1" si="15"/>
        <v>shadow= this-&gt;createMovieClipSub("shadow");</v>
      </c>
    </row>
    <row r="183" spans="1:15" s="18" customFormat="1" x14ac:dyDescent="0.25">
      <c r="A183" s="17"/>
      <c r="B183" s="19" t="s">
        <v>80</v>
      </c>
      <c r="C183" s="1">
        <f t="shared" ca="1" si="16"/>
        <v>1</v>
      </c>
      <c r="D183" s="1" t="s">
        <v>316</v>
      </c>
      <c r="E183" s="17"/>
      <c r="F183" s="17"/>
      <c r="G183" s="17" t="s">
        <v>586</v>
      </c>
      <c r="H183" s="1" t="str">
        <f t="shared" ca="1" si="17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8"/>
        <v>createMovieClipSub</v>
      </c>
      <c r="K183" s="1" t="str">
        <f t="shared" si="14"/>
        <v>cont</v>
      </c>
      <c r="L183" s="17"/>
      <c r="M183" s="17"/>
      <c r="N183" s="14" t="str">
        <f t="shared" ca="1" si="19"/>
        <v>MovieClipSub * cont;</v>
      </c>
      <c r="O183" s="14" t="str">
        <f t="shared" ca="1" si="15"/>
        <v>cont= this-&gt;createMovieClipSub("cont");</v>
      </c>
    </row>
    <row r="184" spans="1:15" s="18" customFormat="1" x14ac:dyDescent="0.25">
      <c r="A184" s="17"/>
      <c r="B184" s="19" t="s">
        <v>469</v>
      </c>
      <c r="C184" s="1">
        <f t="shared" ca="1" si="16"/>
        <v>1</v>
      </c>
      <c r="D184" s="1" t="s">
        <v>316</v>
      </c>
      <c r="E184" s="17"/>
      <c r="F184" s="17"/>
      <c r="G184" s="17" t="s">
        <v>586</v>
      </c>
      <c r="H184" s="1" t="str">
        <f t="shared" ca="1" si="17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8"/>
        <v>createMovieClipSub</v>
      </c>
      <c r="K184" s="1" t="str">
        <f t="shared" si="14"/>
        <v>logoCont</v>
      </c>
      <c r="L184" s="17"/>
      <c r="M184" s="17"/>
      <c r="N184" s="14" t="str">
        <f t="shared" ca="1" si="19"/>
        <v>MovieClipSub * logoCont;</v>
      </c>
      <c r="O184" s="14" t="str">
        <f t="shared" ca="1" si="15"/>
        <v>logoCont= this-&gt;createMovieClipSub("logoCont");</v>
      </c>
    </row>
    <row r="185" spans="1:15" s="18" customFormat="1" x14ac:dyDescent="0.25">
      <c r="A185" s="17"/>
      <c r="B185" s="20" t="s">
        <v>475</v>
      </c>
      <c r="C185" s="1">
        <f t="shared" ca="1" si="16"/>
        <v>2</v>
      </c>
      <c r="D185" s="1" t="s">
        <v>316</v>
      </c>
      <c r="E185" s="17"/>
      <c r="F185" s="17"/>
      <c r="G185" s="17" t="s">
        <v>669</v>
      </c>
      <c r="H185" s="1" t="str">
        <f t="shared" ca="1" si="17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8"/>
        <v>createCase</v>
      </c>
      <c r="K185" s="1" t="str">
        <f t="shared" si="14"/>
        <v>logoContCase</v>
      </c>
      <c r="L185" s="17"/>
      <c r="M185" s="17"/>
      <c r="N185" s="14" t="str">
        <f t="shared" ca="1" si="19"/>
        <v>MCCase * logoContLogoContCase;</v>
      </c>
      <c r="O185" s="14" t="str">
        <f t="shared" ca="1" si="15"/>
        <v>logoContLogoContCase= logoCont-&gt;createCase("logoContCase");</v>
      </c>
    </row>
    <row r="186" spans="1:15" s="18" customFormat="1" x14ac:dyDescent="0.25">
      <c r="A186" s="17"/>
      <c r="B186" s="19" t="s">
        <v>470</v>
      </c>
      <c r="C186" s="1">
        <f t="shared" ca="1" si="16"/>
        <v>1</v>
      </c>
      <c r="D186" s="1" t="s">
        <v>316</v>
      </c>
      <c r="E186" s="17"/>
      <c r="F186" s="17"/>
      <c r="G186" s="17" t="s">
        <v>586</v>
      </c>
      <c r="H186" s="1" t="str">
        <f t="shared" ca="1" si="17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8"/>
        <v>createMovieClipSub</v>
      </c>
      <c r="K186" s="1" t="str">
        <f t="shared" si="14"/>
        <v>noteCont</v>
      </c>
      <c r="L186" s="17"/>
      <c r="M186" s="17"/>
      <c r="N186" s="14" t="str">
        <f t="shared" ca="1" si="19"/>
        <v>MovieClipSub * noteCont;</v>
      </c>
      <c r="O186" s="14" t="str">
        <f t="shared" ca="1" si="15"/>
        <v>noteCont= this-&gt;createMovieClipSub("noteCont");</v>
      </c>
    </row>
    <row r="187" spans="1:15" s="18" customFormat="1" x14ac:dyDescent="0.25">
      <c r="A187" s="17"/>
      <c r="B187" s="20" t="s">
        <v>476</v>
      </c>
      <c r="C187" s="1">
        <f t="shared" ca="1" si="16"/>
        <v>2</v>
      </c>
      <c r="D187" s="1" t="s">
        <v>316</v>
      </c>
      <c r="E187" s="17"/>
      <c r="F187" s="17"/>
      <c r="G187" s="17" t="s">
        <v>669</v>
      </c>
      <c r="H187" s="1" t="str">
        <f t="shared" ca="1" si="17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8"/>
        <v>createCase</v>
      </c>
      <c r="K187" s="1" t="str">
        <f t="shared" si="14"/>
        <v>noteContCase</v>
      </c>
      <c r="L187" s="17"/>
      <c r="M187" s="17"/>
      <c r="N187" s="14" t="str">
        <f t="shared" ca="1" si="19"/>
        <v>MCCase * noteContNoteContCase;</v>
      </c>
      <c r="O187" s="14" t="str">
        <f t="shared" ca="1" si="15"/>
        <v>noteContNoteContCase= noteCont-&gt;createCase("noteContCase");</v>
      </c>
    </row>
    <row r="188" spans="1:15" s="18" customFormat="1" x14ac:dyDescent="0.25">
      <c r="A188" s="17"/>
      <c r="B188" s="19" t="s">
        <v>471</v>
      </c>
      <c r="C188" s="1">
        <f t="shared" ca="1" si="16"/>
        <v>1</v>
      </c>
      <c r="D188" s="1" t="s">
        <v>316</v>
      </c>
      <c r="E188" s="17"/>
      <c r="F188" s="17"/>
      <c r="G188" s="17" t="s">
        <v>586</v>
      </c>
      <c r="H188" s="1" t="str">
        <f t="shared" ca="1" si="17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8"/>
        <v>createMovieClipSub</v>
      </c>
      <c r="K188" s="1" t="str">
        <f t="shared" si="14"/>
        <v>facebook</v>
      </c>
      <c r="L188" s="17"/>
      <c r="M188" s="17"/>
      <c r="N188" s="14" t="str">
        <f t="shared" ca="1" si="19"/>
        <v>MovieClipSub * facebook;</v>
      </c>
      <c r="O188" s="14" t="str">
        <f t="shared" ca="1" si="15"/>
        <v>facebook= this-&gt;createMovieClipSub("facebook");</v>
      </c>
    </row>
    <row r="189" spans="1:15" s="18" customFormat="1" x14ac:dyDescent="0.25">
      <c r="A189" s="17"/>
      <c r="B189" s="20" t="s">
        <v>477</v>
      </c>
      <c r="C189" s="1">
        <f t="shared" ca="1" si="16"/>
        <v>2</v>
      </c>
      <c r="D189" s="1" t="s">
        <v>316</v>
      </c>
      <c r="E189" s="17"/>
      <c r="F189" s="17"/>
      <c r="G189" s="17" t="s">
        <v>669</v>
      </c>
      <c r="H189" s="1" t="str">
        <f t="shared" ca="1" si="17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8"/>
        <v>createCase</v>
      </c>
      <c r="K189" s="1" t="str">
        <f t="shared" si="14"/>
        <v>facebookCase</v>
      </c>
      <c r="L189" s="17"/>
      <c r="M189" s="17"/>
      <c r="N189" s="14" t="str">
        <f t="shared" ca="1" si="19"/>
        <v>MCCase * facebookFacebookCase;</v>
      </c>
      <c r="O189" s="14" t="str">
        <f t="shared" ca="1" si="15"/>
        <v>facebookFacebookCase= facebook-&gt;createCase("facebookCase");</v>
      </c>
    </row>
    <row r="190" spans="1:15" s="18" customFormat="1" x14ac:dyDescent="0.25">
      <c r="A190" s="17"/>
      <c r="B190" s="19" t="s">
        <v>472</v>
      </c>
      <c r="C190" s="1">
        <f t="shared" ca="1" si="16"/>
        <v>1</v>
      </c>
      <c r="D190" s="1" t="s">
        <v>316</v>
      </c>
      <c r="E190" s="17"/>
      <c r="F190" s="17"/>
      <c r="G190" s="17" t="s">
        <v>586</v>
      </c>
      <c r="H190" s="1" t="str">
        <f t="shared" ca="1" si="17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8"/>
        <v>createMovieClipSub</v>
      </c>
      <c r="K190" s="1" t="str">
        <f t="shared" si="14"/>
        <v>twitter</v>
      </c>
      <c r="L190" s="17"/>
      <c r="M190" s="17"/>
      <c r="N190" s="14" t="str">
        <f t="shared" ca="1" si="19"/>
        <v>MovieClipSub * twitter;</v>
      </c>
      <c r="O190" s="14" t="str">
        <f t="shared" ca="1" si="15"/>
        <v>twitter= this-&gt;createMovieClipSub("twitter");</v>
      </c>
    </row>
    <row r="191" spans="1:15" s="18" customFormat="1" x14ac:dyDescent="0.25">
      <c r="A191" s="17"/>
      <c r="B191" s="20" t="s">
        <v>478</v>
      </c>
      <c r="C191" s="1">
        <f t="shared" ca="1" si="16"/>
        <v>2</v>
      </c>
      <c r="D191" s="1" t="s">
        <v>316</v>
      </c>
      <c r="E191" s="17"/>
      <c r="F191" s="17"/>
      <c r="G191" s="17" t="s">
        <v>669</v>
      </c>
      <c r="H191" s="1" t="str">
        <f t="shared" ca="1" si="17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8"/>
        <v>createCase</v>
      </c>
      <c r="K191" s="1" t="str">
        <f t="shared" si="14"/>
        <v>twitterCase</v>
      </c>
      <c r="L191" s="17"/>
      <c r="M191" s="17"/>
      <c r="N191" s="14" t="str">
        <f t="shared" ca="1" si="19"/>
        <v>MCCase * twitterTwitterCase;</v>
      </c>
      <c r="O191" s="14" t="str">
        <f t="shared" ca="1" si="15"/>
        <v>twitterTwitterCase= twitter-&gt;createCase("twitterCase");</v>
      </c>
    </row>
    <row r="192" spans="1:15" s="18" customFormat="1" x14ac:dyDescent="0.25">
      <c r="A192" s="17"/>
      <c r="B192" s="19" t="s">
        <v>473</v>
      </c>
      <c r="C192" s="1">
        <f t="shared" ca="1" si="16"/>
        <v>1</v>
      </c>
      <c r="D192" s="1" t="s">
        <v>316</v>
      </c>
      <c r="E192" s="17"/>
      <c r="F192" s="17"/>
      <c r="G192" s="17" t="s">
        <v>586</v>
      </c>
      <c r="H192" s="1" t="str">
        <f t="shared" ca="1" si="17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8"/>
        <v>createMovieClipSub</v>
      </c>
      <c r="K192" s="1" t="str">
        <f t="shared" si="14"/>
        <v>btnOk</v>
      </c>
      <c r="L192" s="17"/>
      <c r="M192" s="17"/>
      <c r="N192" s="14" t="str">
        <f t="shared" ca="1" si="19"/>
        <v>MovieClipSub * btnOk;</v>
      </c>
      <c r="O192" s="14" t="str">
        <f t="shared" ca="1" si="15"/>
        <v>btnOk= this-&gt;createMovieClipSub("btnOk");</v>
      </c>
    </row>
    <row r="193" spans="1:15" s="18" customFormat="1" x14ac:dyDescent="0.25">
      <c r="A193" s="17"/>
      <c r="B193" s="20" t="s">
        <v>474</v>
      </c>
      <c r="C193" s="1">
        <f t="shared" ca="1" si="16"/>
        <v>2</v>
      </c>
      <c r="D193" s="1" t="s">
        <v>316</v>
      </c>
      <c r="E193" s="17"/>
      <c r="F193" s="17"/>
      <c r="G193" s="17" t="s">
        <v>669</v>
      </c>
      <c r="H193" s="1" t="str">
        <f t="shared" ca="1" si="17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8"/>
        <v>createCase</v>
      </c>
      <c r="K193" s="1" t="str">
        <f t="shared" si="14"/>
        <v>okCase</v>
      </c>
      <c r="L193" s="17"/>
      <c r="M193" s="17"/>
      <c r="N193" s="14" t="str">
        <f t="shared" ca="1" si="19"/>
        <v>MCCase * btnOkOkCase;</v>
      </c>
      <c r="O193" s="14" t="str">
        <f t="shared" ca="1" si="15"/>
        <v>btnOkOkCase= btnOk-&gt;createCase("okCase");</v>
      </c>
    </row>
    <row r="194" spans="1:15" x14ac:dyDescent="0.25">
      <c r="A194" s="1" t="s">
        <v>480</v>
      </c>
      <c r="B194" s="6" t="s">
        <v>479</v>
      </c>
      <c r="C194" s="1">
        <f t="shared" ca="1" si="16"/>
        <v>0</v>
      </c>
      <c r="D194" s="1" t="s">
        <v>316</v>
      </c>
      <c r="E194" s="1"/>
      <c r="F194" s="1"/>
      <c r="G194" s="1"/>
      <c r="H194" s="1" t="str">
        <f t="shared" ca="1" si="17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8"/>
        <v>create</v>
      </c>
      <c r="K194" s="1" t="str">
        <f t="shared" ref="K194:K257" si="20">B194</f>
        <v>StartMenu_mc</v>
      </c>
      <c r="L194" s="1"/>
      <c r="M194" s="1"/>
      <c r="N194" s="14" t="str">
        <f t="shared" ca="1" si="19"/>
        <v/>
      </c>
      <c r="O194" s="14" t="str">
        <f t="shared" ref="O194:O257" ca="1" si="21">IF(C194&gt;0,IF(G194="MovieClip",IF(M194&lt;&gt;"y",H194&amp;"= "&amp;I194&amp;"-&gt;"&amp;J194&amp;"("""&amp;B194&amp;""","""&amp;D194&amp;"/"","""&amp;L194&amp;""","""&amp;K194&amp;""")"&amp;";",
H194&amp;"= "&amp;"("&amp;K194&amp;"*)"&amp;I194&amp;"-&gt;"&amp;J194&amp;"("""&amp;B194&amp;""",new "&amp;K194&amp;"())"&amp;";"
),H194&amp;"= "&amp;I194&amp;"-&gt;"&amp;J194&amp;"("""&amp;K194&amp;""")"&amp;";"),IF(RIGHT(B194,3)&lt;&gt;"_mc",G194&amp;"("""&amp;D194&amp;""","""&amp;B194&amp;""","""&amp;K194&amp;"""{)",B194&amp;"::"&amp;B194&amp;":"&amp;G194&amp;"("""&amp;D194&amp;"/"","""&amp;B194&amp;""","""&amp;K194&amp;"""{)"))</f>
        <v>StartMenu_mc::StartMenu_mc:("screen/","StartMenu_mc","StartMenu_mc"{)</v>
      </c>
    </row>
    <row r="195" spans="1:15" x14ac:dyDescent="0.25">
      <c r="A195" s="1"/>
      <c r="B195" s="3" t="s">
        <v>490</v>
      </c>
      <c r="C195" s="1">
        <f t="shared" ref="C195:C258" ca="1" si="22">indent(B195)</f>
        <v>1</v>
      </c>
      <c r="D195" s="1" t="s">
        <v>316</v>
      </c>
      <c r="E195" s="1"/>
      <c r="F195" s="1"/>
      <c r="G195" s="1" t="s">
        <v>616</v>
      </c>
      <c r="H195" s="1" t="str">
        <f t="shared" ref="H195:H226" ca="1" si="23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4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4" t="str">
        <f t="shared" ca="1" si="19"/>
        <v>MovieClipSub * back;</v>
      </c>
      <c r="O195" s="14" t="str">
        <f t="shared" ca="1" si="21"/>
        <v>back= this-&gt;createMovieClipSub("back");</v>
      </c>
    </row>
    <row r="196" spans="1:15" x14ac:dyDescent="0.25">
      <c r="A196" s="1"/>
      <c r="B196" s="4" t="s">
        <v>491</v>
      </c>
      <c r="C196" s="1">
        <f t="shared" ca="1" si="22"/>
        <v>2</v>
      </c>
      <c r="D196" s="1" t="s">
        <v>316</v>
      </c>
      <c r="E196" s="1"/>
      <c r="F196" s="1"/>
      <c r="G196" s="1" t="s">
        <v>669</v>
      </c>
      <c r="H196" s="1" t="str">
        <f t="shared" ca="1" si="23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4"/>
        <v>createCase</v>
      </c>
      <c r="K196" s="1" t="str">
        <f t="shared" si="20"/>
        <v>backCase</v>
      </c>
      <c r="L196" s="1"/>
      <c r="M196" s="1"/>
      <c r="N196" s="14" t="str">
        <f t="shared" ref="N196:N259" ca="1" si="25">IF(C196&gt;0,G196 &amp; " * "&amp;H196 &amp;";","")</f>
        <v>MCCase * backBackCase;</v>
      </c>
      <c r="O196" s="14" t="str">
        <f t="shared" ca="1" si="21"/>
        <v>backBackCase= back-&gt;createCase("backCase");</v>
      </c>
    </row>
    <row r="197" spans="1:15" x14ac:dyDescent="0.25">
      <c r="A197" s="1"/>
      <c r="B197" s="3" t="s">
        <v>489</v>
      </c>
      <c r="C197" s="1">
        <f t="shared" ca="1" si="22"/>
        <v>1</v>
      </c>
      <c r="D197" s="1" t="s">
        <v>316</v>
      </c>
      <c r="E197" s="1"/>
      <c r="F197" s="1"/>
      <c r="G197" s="1" t="s">
        <v>616</v>
      </c>
      <c r="H197" s="1" t="str">
        <f t="shared" ca="1" si="23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4"/>
        <v>createMovieClipSub</v>
      </c>
      <c r="K197" s="1" t="str">
        <f t="shared" si="20"/>
        <v>btnIdnet</v>
      </c>
      <c r="L197" s="1"/>
      <c r="M197" s="1"/>
      <c r="N197" s="14" t="str">
        <f t="shared" ca="1" si="25"/>
        <v>MovieClipSub * btnIdnet;</v>
      </c>
      <c r="O197" s="14" t="str">
        <f t="shared" ca="1" si="21"/>
        <v>btnIdnet= this-&gt;createMovieClipSub("btnIdnet");</v>
      </c>
    </row>
    <row r="198" spans="1:15" x14ac:dyDescent="0.25">
      <c r="A198" s="1"/>
      <c r="B198" s="4" t="s">
        <v>492</v>
      </c>
      <c r="C198" s="1">
        <f t="shared" ca="1" si="22"/>
        <v>2</v>
      </c>
      <c r="D198" s="1" t="s">
        <v>316</v>
      </c>
      <c r="E198" s="1"/>
      <c r="F198" s="1"/>
      <c r="G198" s="1" t="s">
        <v>669</v>
      </c>
      <c r="H198" s="1" t="str">
        <f t="shared" ca="1" si="23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4"/>
        <v>createCase</v>
      </c>
      <c r="K198" s="1" t="str">
        <f t="shared" si="20"/>
        <v>idnetCase</v>
      </c>
      <c r="L198" s="1"/>
      <c r="M198" s="1"/>
      <c r="N198" s="14" t="str">
        <f t="shared" ca="1" si="25"/>
        <v>MCCase * btnIdnetIdnetCase;</v>
      </c>
      <c r="O198" s="14" t="str">
        <f t="shared" ca="1" si="21"/>
        <v>btnIdnetIdnetCase= btnIdnet-&gt;createCase("idnetCase");</v>
      </c>
    </row>
    <row r="199" spans="1:15" x14ac:dyDescent="0.25">
      <c r="A199" s="1"/>
      <c r="B199" s="3" t="s">
        <v>295</v>
      </c>
      <c r="C199" s="1">
        <f t="shared" ca="1" si="22"/>
        <v>1</v>
      </c>
      <c r="D199" s="1" t="s">
        <v>316</v>
      </c>
      <c r="E199" s="1"/>
      <c r="F199" s="1"/>
      <c r="G199" s="1" t="s">
        <v>616</v>
      </c>
      <c r="H199" s="1" t="str">
        <f t="shared" ca="1" si="23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4"/>
        <v>createMovieClipSub</v>
      </c>
      <c r="K199" s="1" t="str">
        <f t="shared" si="20"/>
        <v>btnMusic</v>
      </c>
      <c r="L199" s="1"/>
      <c r="M199" s="1"/>
      <c r="N199" s="14" t="str">
        <f t="shared" ca="1" si="25"/>
        <v>MovieClipSub * btnMusic;</v>
      </c>
      <c r="O199" s="14" t="str">
        <f t="shared" ca="1" si="21"/>
        <v>btnMusic= this-&gt;createMovieClipSub("btnMusic");</v>
      </c>
    </row>
    <row r="200" spans="1:15" x14ac:dyDescent="0.25">
      <c r="A200" s="1"/>
      <c r="B200" s="4" t="s">
        <v>324</v>
      </c>
      <c r="C200" s="1">
        <f t="shared" ca="1" si="22"/>
        <v>2</v>
      </c>
      <c r="D200" s="1" t="s">
        <v>316</v>
      </c>
      <c r="E200" s="1"/>
      <c r="F200" s="1"/>
      <c r="G200" s="1" t="s">
        <v>669</v>
      </c>
      <c r="H200" s="1" t="str">
        <f t="shared" ca="1" si="23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4"/>
        <v>createCase</v>
      </c>
      <c r="K200" s="1" t="str">
        <f t="shared" si="20"/>
        <v>musicCase</v>
      </c>
      <c r="L200" s="1"/>
      <c r="M200" s="1"/>
      <c r="N200" s="14" t="str">
        <f t="shared" ca="1" si="25"/>
        <v>MCCase * btnMusicMusicCase;</v>
      </c>
      <c r="O200" s="14" t="str">
        <f t="shared" ca="1" si="21"/>
        <v>btnMusicMusicCase= btnMusic-&gt;createCase("musicCase");</v>
      </c>
    </row>
    <row r="201" spans="1:15" x14ac:dyDescent="0.25">
      <c r="A201" s="1"/>
      <c r="B201" s="3" t="s">
        <v>296</v>
      </c>
      <c r="C201" s="1">
        <f t="shared" ca="1" si="22"/>
        <v>1</v>
      </c>
      <c r="D201" s="1" t="s">
        <v>316</v>
      </c>
      <c r="E201" s="1"/>
      <c r="F201" s="1"/>
      <c r="G201" s="1" t="s">
        <v>616</v>
      </c>
      <c r="H201" s="1" t="str">
        <f t="shared" ca="1" si="23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4"/>
        <v>createMovieClipSub</v>
      </c>
      <c r="K201" s="1" t="str">
        <f t="shared" si="20"/>
        <v>btnSound</v>
      </c>
      <c r="L201" s="1"/>
      <c r="M201" s="1"/>
      <c r="N201" s="14" t="str">
        <f t="shared" ca="1" si="25"/>
        <v>MovieClipSub * btnSound;</v>
      </c>
      <c r="O201" s="14" t="str">
        <f t="shared" ca="1" si="21"/>
        <v>btnSound= this-&gt;createMovieClipSub("btnSound");</v>
      </c>
    </row>
    <row r="202" spans="1:15" x14ac:dyDescent="0.25">
      <c r="A202" s="1"/>
      <c r="B202" s="4" t="s">
        <v>325</v>
      </c>
      <c r="C202" s="1">
        <f t="shared" ca="1" si="22"/>
        <v>2</v>
      </c>
      <c r="D202" s="1" t="s">
        <v>316</v>
      </c>
      <c r="E202" s="1"/>
      <c r="F202" s="1"/>
      <c r="G202" s="1" t="s">
        <v>669</v>
      </c>
      <c r="H202" s="1" t="str">
        <f t="shared" ca="1" si="23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4"/>
        <v>createCase</v>
      </c>
      <c r="K202" s="1" t="str">
        <f t="shared" si="20"/>
        <v>soundCase</v>
      </c>
      <c r="L202" s="1"/>
      <c r="M202" s="1"/>
      <c r="N202" s="14" t="str">
        <f t="shared" ca="1" si="25"/>
        <v>MCCase * btnSoundSoundCase;</v>
      </c>
      <c r="O202" s="14" t="str">
        <f t="shared" ca="1" si="21"/>
        <v>btnSoundSoundCase= btnSound-&gt;createCase("soundCase");</v>
      </c>
    </row>
    <row r="203" spans="1:15" x14ac:dyDescent="0.25">
      <c r="A203" s="1"/>
      <c r="B203" s="3" t="s">
        <v>384</v>
      </c>
      <c r="C203" s="1">
        <f t="shared" ca="1" si="22"/>
        <v>1</v>
      </c>
      <c r="D203" s="1" t="s">
        <v>316</v>
      </c>
      <c r="E203" s="1"/>
      <c r="F203" s="1"/>
      <c r="G203" s="1" t="s">
        <v>616</v>
      </c>
      <c r="H203" s="1" t="str">
        <f t="shared" ca="1" si="23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4"/>
        <v>createMovieClipSub</v>
      </c>
      <c r="K203" s="1" t="str">
        <f t="shared" si="20"/>
        <v>btnY8</v>
      </c>
      <c r="L203" s="1"/>
      <c r="M203" s="1"/>
      <c r="N203" s="14" t="str">
        <f t="shared" ca="1" si="25"/>
        <v>MovieClipSub * btnY8;</v>
      </c>
      <c r="O203" s="14" t="str">
        <f t="shared" ca="1" si="21"/>
        <v>btnY8= this-&gt;createMovieClipSub("btnY8");</v>
      </c>
    </row>
    <row r="204" spans="1:15" x14ac:dyDescent="0.25">
      <c r="A204" s="1"/>
      <c r="B204" s="4" t="s">
        <v>385</v>
      </c>
      <c r="C204" s="1">
        <f t="shared" ca="1" si="22"/>
        <v>2</v>
      </c>
      <c r="D204" s="1" t="s">
        <v>316</v>
      </c>
      <c r="E204" s="1"/>
      <c r="F204" s="1"/>
      <c r="G204" s="1" t="s">
        <v>669</v>
      </c>
      <c r="H204" s="1" t="str">
        <f t="shared" ca="1" si="23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4"/>
        <v>createCase</v>
      </c>
      <c r="K204" s="1" t="str">
        <f t="shared" si="20"/>
        <v>y8Case</v>
      </c>
      <c r="L204" s="1"/>
      <c r="M204" s="1"/>
      <c r="N204" s="14" t="str">
        <f t="shared" ca="1" si="25"/>
        <v>MCCase * btnY8Y8Case;</v>
      </c>
      <c r="O204" s="14" t="str">
        <f t="shared" ca="1" si="21"/>
        <v>btnY8Y8Case= btnY8-&gt;createCase("y8Case");</v>
      </c>
    </row>
    <row r="205" spans="1:15" x14ac:dyDescent="0.25">
      <c r="A205" s="1"/>
      <c r="B205" s="3" t="s">
        <v>481</v>
      </c>
      <c r="C205" s="1">
        <f t="shared" ca="1" si="22"/>
        <v>1</v>
      </c>
      <c r="D205" s="1" t="s">
        <v>316</v>
      </c>
      <c r="E205" s="1"/>
      <c r="F205" s="1"/>
      <c r="G205" s="1" t="s">
        <v>616</v>
      </c>
      <c r="H205" s="1" t="str">
        <f t="shared" ca="1" si="23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4"/>
        <v>createMovieClipSub</v>
      </c>
      <c r="K205" s="1" t="str">
        <f t="shared" si="20"/>
        <v>credits</v>
      </c>
      <c r="L205" s="1"/>
      <c r="M205" s="1"/>
      <c r="N205" s="14" t="str">
        <f t="shared" ca="1" si="25"/>
        <v>MovieClipSub * credits;</v>
      </c>
      <c r="O205" s="14" t="str">
        <f t="shared" ca="1" si="21"/>
        <v>credits= this-&gt;createMovieClipSub("credits");</v>
      </c>
    </row>
    <row r="206" spans="1:15" x14ac:dyDescent="0.25">
      <c r="A206" s="1"/>
      <c r="B206" s="3" t="s">
        <v>482</v>
      </c>
      <c r="C206" s="1">
        <f t="shared" ca="1" si="22"/>
        <v>1</v>
      </c>
      <c r="D206" s="1" t="s">
        <v>316</v>
      </c>
      <c r="E206" s="1"/>
      <c r="F206" s="1"/>
      <c r="G206" s="1" t="s">
        <v>616</v>
      </c>
      <c r="H206" s="1" t="str">
        <f t="shared" ca="1" si="23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4"/>
        <v>createMovieClipSub</v>
      </c>
      <c r="K206" s="1" t="str">
        <f t="shared" si="20"/>
        <v>game1</v>
      </c>
      <c r="L206" s="1"/>
      <c r="M206" s="1"/>
      <c r="N206" s="14" t="str">
        <f t="shared" ca="1" si="25"/>
        <v>MovieClipSub * game1;</v>
      </c>
      <c r="O206" s="14" t="str">
        <f t="shared" ca="1" si="21"/>
        <v>game1= this-&gt;createMovieClipSub("game1");</v>
      </c>
    </row>
    <row r="207" spans="1:15" x14ac:dyDescent="0.25">
      <c r="A207" s="1"/>
      <c r="B207" s="4" t="s">
        <v>497</v>
      </c>
      <c r="C207" s="1">
        <f t="shared" ca="1" si="22"/>
        <v>2</v>
      </c>
      <c r="D207" s="1" t="s">
        <v>316</v>
      </c>
      <c r="E207" s="1"/>
      <c r="F207" s="1"/>
      <c r="G207" s="1" t="s">
        <v>669</v>
      </c>
      <c r="H207" s="1" t="str">
        <f t="shared" ca="1" si="23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4"/>
        <v>createCase</v>
      </c>
      <c r="K207" s="1" t="str">
        <f t="shared" si="20"/>
        <v>newGame1Case</v>
      </c>
      <c r="L207" s="1"/>
      <c r="M207" s="1"/>
      <c r="N207" s="14" t="str">
        <f t="shared" ca="1" si="25"/>
        <v>MCCase * game1NewGame1Case;</v>
      </c>
      <c r="O207" s="14" t="str">
        <f t="shared" ca="1" si="21"/>
        <v>game1NewGame1Case= game1-&gt;createCase("newGame1Case");</v>
      </c>
    </row>
    <row r="208" spans="1:15" x14ac:dyDescent="0.25">
      <c r="A208" s="1"/>
      <c r="B208" s="4" t="s">
        <v>498</v>
      </c>
      <c r="C208" s="1">
        <f t="shared" ca="1" si="22"/>
        <v>2</v>
      </c>
      <c r="D208" s="1" t="s">
        <v>316</v>
      </c>
      <c r="E208" s="1"/>
      <c r="F208" s="1"/>
      <c r="G208" s="1" t="s">
        <v>669</v>
      </c>
      <c r="H208" s="1" t="str">
        <f t="shared" ca="1" si="23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4"/>
        <v>createCase</v>
      </c>
      <c r="K208" s="1" t="str">
        <f t="shared" si="20"/>
        <v>game1Case</v>
      </c>
      <c r="L208" s="1"/>
      <c r="M208" s="1"/>
      <c r="N208" s="14" t="str">
        <f t="shared" ca="1" si="25"/>
        <v>MCCase * game1Game1Case;</v>
      </c>
      <c r="O208" s="14" t="str">
        <f t="shared" ca="1" si="21"/>
        <v>game1Game1Case= game1-&gt;createCase("game1Case");</v>
      </c>
    </row>
    <row r="209" spans="1:15" x14ac:dyDescent="0.25">
      <c r="A209" s="1"/>
      <c r="B209" s="4" t="s">
        <v>499</v>
      </c>
      <c r="C209" s="1">
        <f t="shared" ca="1" si="22"/>
        <v>2</v>
      </c>
      <c r="D209" s="1" t="s">
        <v>316</v>
      </c>
      <c r="E209" s="1"/>
      <c r="F209" s="1"/>
      <c r="G209" s="1" t="s">
        <v>616</v>
      </c>
      <c r="H209" s="1" t="str">
        <f t="shared" ca="1" si="23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4"/>
        <v>createMovieClipSub</v>
      </c>
      <c r="K209" s="1" t="str">
        <f t="shared" si="20"/>
        <v>syncSlot</v>
      </c>
      <c r="L209" s="1"/>
      <c r="M209" s="1"/>
      <c r="N209" s="14" t="str">
        <f t="shared" ca="1" si="25"/>
        <v>MovieClipSub * game1SyncSlot;</v>
      </c>
      <c r="O209" s="14" t="str">
        <f t="shared" ca="1" si="21"/>
        <v>game1SyncSlot= game1-&gt;createMovieClipSub("syncSlot");</v>
      </c>
    </row>
    <row r="210" spans="1:15" x14ac:dyDescent="0.25">
      <c r="A210" s="1"/>
      <c r="B210" s="5" t="s">
        <v>500</v>
      </c>
      <c r="C210" s="1">
        <f t="shared" ca="1" si="22"/>
        <v>3</v>
      </c>
      <c r="D210" s="1" t="s">
        <v>316</v>
      </c>
      <c r="E210" s="1"/>
      <c r="F210" s="1"/>
      <c r="G210" s="1" t="s">
        <v>669</v>
      </c>
      <c r="H210" s="1" t="str">
        <f t="shared" ca="1" si="23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4"/>
        <v>createCase</v>
      </c>
      <c r="K210" s="1" t="str">
        <f t="shared" si="20"/>
        <v>syncSlotCase</v>
      </c>
      <c r="L210" s="1"/>
      <c r="M210" s="1"/>
      <c r="N210" s="14" t="str">
        <f t="shared" ca="1" si="25"/>
        <v>MCCase * game1SyncSlotSyncSlotCase;</v>
      </c>
      <c r="O210" s="14" t="str">
        <f t="shared" ca="1" si="21"/>
        <v>game1SyncSlotSyncSlotCase= game1SyncSlot-&gt;createCase("syncSlotCase");</v>
      </c>
    </row>
    <row r="211" spans="1:15" x14ac:dyDescent="0.25">
      <c r="A211" s="1"/>
      <c r="B211" s="4" t="s">
        <v>501</v>
      </c>
      <c r="C211" s="1">
        <f t="shared" ca="1" si="22"/>
        <v>2</v>
      </c>
      <c r="D211" s="1" t="s">
        <v>316</v>
      </c>
      <c r="E211" s="1"/>
      <c r="F211" s="1"/>
      <c r="G211" s="1" t="s">
        <v>616</v>
      </c>
      <c r="H211" s="1" t="str">
        <f t="shared" ca="1" si="23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4"/>
        <v>createMovieClipSub</v>
      </c>
      <c r="K211" s="1" t="str">
        <f t="shared" si="20"/>
        <v>deleteSlot</v>
      </c>
      <c r="L211" s="1"/>
      <c r="M211" s="1"/>
      <c r="N211" s="14" t="str">
        <f t="shared" ca="1" si="25"/>
        <v>MovieClipSub * game1DeleteSlot;</v>
      </c>
      <c r="O211" s="14" t="str">
        <f t="shared" ca="1" si="21"/>
        <v>game1DeleteSlot= game1-&gt;createMovieClipSub("deleteSlot");</v>
      </c>
    </row>
    <row r="212" spans="1:15" x14ac:dyDescent="0.25">
      <c r="A212" s="1"/>
      <c r="B212" s="5" t="s">
        <v>502</v>
      </c>
      <c r="C212" s="1">
        <f t="shared" ca="1" si="22"/>
        <v>3</v>
      </c>
      <c r="D212" s="1" t="s">
        <v>316</v>
      </c>
      <c r="E212" s="1"/>
      <c r="F212" s="1"/>
      <c r="G212" s="1" t="s">
        <v>669</v>
      </c>
      <c r="H212" s="1" t="str">
        <f t="shared" ca="1" si="23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4"/>
        <v>createCase</v>
      </c>
      <c r="K212" s="1" t="str">
        <f t="shared" si="20"/>
        <v>deleteSlotCase</v>
      </c>
      <c r="L212" s="1"/>
      <c r="M212" s="1"/>
      <c r="N212" s="14" t="str">
        <f t="shared" ca="1" si="25"/>
        <v>MCCase * game1DeleteSlotDeleteSlotCase;</v>
      </c>
      <c r="O212" s="14" t="str">
        <f t="shared" ca="1" si="21"/>
        <v>game1DeleteSlotDeleteSlotCase= game1DeleteSlot-&gt;createCase("deleteSlotCase");</v>
      </c>
    </row>
    <row r="213" spans="1:15" x14ac:dyDescent="0.25">
      <c r="A213" s="1"/>
      <c r="B213" s="4" t="s">
        <v>505</v>
      </c>
      <c r="C213" s="1">
        <f t="shared" ca="1" si="22"/>
        <v>2</v>
      </c>
      <c r="D213" s="1" t="s">
        <v>316</v>
      </c>
      <c r="E213" s="1"/>
      <c r="F213" s="1"/>
      <c r="G213" s="1" t="s">
        <v>671</v>
      </c>
      <c r="H213" s="1" t="str">
        <f t="shared" ca="1" si="23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4"/>
        <v>createText</v>
      </c>
      <c r="K213" s="1" t="str">
        <f t="shared" si="20"/>
        <v>numTXT</v>
      </c>
      <c r="L213" s="1"/>
      <c r="M213" s="1"/>
      <c r="N213" s="14" t="str">
        <f t="shared" ca="1" si="25"/>
        <v>MCText * game1NumTXT;</v>
      </c>
      <c r="O213" s="14" t="str">
        <f t="shared" ca="1" si="21"/>
        <v>game1NumTXT= game1-&gt;createText("numTXT");</v>
      </c>
    </row>
    <row r="214" spans="1:15" x14ac:dyDescent="0.25">
      <c r="A214" s="1"/>
      <c r="B214" s="3" t="s">
        <v>483</v>
      </c>
      <c r="C214" s="1">
        <f t="shared" ca="1" si="22"/>
        <v>1</v>
      </c>
      <c r="D214" s="1" t="s">
        <v>316</v>
      </c>
      <c r="E214" s="1"/>
      <c r="F214" s="1"/>
      <c r="G214" s="1" t="s">
        <v>616</v>
      </c>
      <c r="H214" s="1" t="str">
        <f t="shared" ca="1" si="23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4"/>
        <v>createMovieClipSub</v>
      </c>
      <c r="K214" s="1" t="str">
        <f t="shared" si="20"/>
        <v>game2</v>
      </c>
      <c r="L214" s="1"/>
      <c r="M214" s="1"/>
      <c r="N214" s="14" t="str">
        <f t="shared" ca="1" si="25"/>
        <v>MovieClipSub * game2;</v>
      </c>
      <c r="O214" s="14" t="str">
        <f t="shared" ca="1" si="21"/>
        <v>game2= this-&gt;createMovieClipSub("game2");</v>
      </c>
    </row>
    <row r="215" spans="1:15" ht="13.2" customHeight="1" x14ac:dyDescent="0.25">
      <c r="A215" s="1"/>
      <c r="B215" s="4" t="s">
        <v>503</v>
      </c>
      <c r="C215" s="1">
        <f t="shared" ca="1" si="22"/>
        <v>2</v>
      </c>
      <c r="D215" s="1" t="s">
        <v>316</v>
      </c>
      <c r="E215" s="1"/>
      <c r="F215" s="1"/>
      <c r="G215" s="1" t="s">
        <v>669</v>
      </c>
      <c r="H215" s="1" t="str">
        <f t="shared" ca="1" si="23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4"/>
        <v>createCase</v>
      </c>
      <c r="K215" s="1" t="str">
        <f t="shared" si="20"/>
        <v>newGame2Case</v>
      </c>
      <c r="L215" s="1"/>
      <c r="M215" s="1"/>
      <c r="N215" s="14" t="str">
        <f t="shared" ca="1" si="25"/>
        <v>MCCase * game2NewGame2Case;</v>
      </c>
      <c r="O215" s="14" t="str">
        <f t="shared" ca="1" si="21"/>
        <v>game2NewGame2Case= game2-&gt;createCase("newGame2Case");</v>
      </c>
    </row>
    <row r="216" spans="1:15" ht="13.2" customHeight="1" x14ac:dyDescent="0.25">
      <c r="A216" s="1"/>
      <c r="B216" s="4" t="s">
        <v>504</v>
      </c>
      <c r="C216" s="1">
        <f t="shared" ca="1" si="22"/>
        <v>2</v>
      </c>
      <c r="D216" s="1" t="s">
        <v>316</v>
      </c>
      <c r="E216" s="1"/>
      <c r="F216" s="1"/>
      <c r="G216" s="1" t="s">
        <v>669</v>
      </c>
      <c r="H216" s="1" t="str">
        <f t="shared" ca="1" si="23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4"/>
        <v>createCase</v>
      </c>
      <c r="K216" s="1" t="str">
        <f t="shared" si="20"/>
        <v>game2Case</v>
      </c>
      <c r="L216" s="1"/>
      <c r="M216" s="1"/>
      <c r="N216" s="14" t="str">
        <f t="shared" ca="1" si="25"/>
        <v>MCCase * game2Game2Case;</v>
      </c>
      <c r="O216" s="14" t="str">
        <f t="shared" ca="1" si="21"/>
        <v>game2Game2Case= game2-&gt;createCase("game2Case");</v>
      </c>
    </row>
    <row r="217" spans="1:15" ht="13.2" customHeight="1" x14ac:dyDescent="0.25">
      <c r="A217" s="1"/>
      <c r="B217" s="4" t="s">
        <v>499</v>
      </c>
      <c r="C217" s="1">
        <f t="shared" ca="1" si="22"/>
        <v>2</v>
      </c>
      <c r="D217" s="1" t="s">
        <v>316</v>
      </c>
      <c r="E217" s="1"/>
      <c r="F217" s="1"/>
      <c r="G217" s="1" t="s">
        <v>616</v>
      </c>
      <c r="H217" s="1" t="str">
        <f t="shared" ca="1" si="23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4"/>
        <v>createMovieClipSub</v>
      </c>
      <c r="K217" s="1" t="str">
        <f t="shared" si="20"/>
        <v>syncSlot</v>
      </c>
      <c r="L217" s="1"/>
      <c r="M217" s="1"/>
      <c r="N217" s="14" t="str">
        <f t="shared" ca="1" si="25"/>
        <v>MovieClipSub * game2SyncSlot;</v>
      </c>
      <c r="O217" s="14" t="str">
        <f t="shared" ca="1" si="21"/>
        <v>game2SyncSlot= game2-&gt;createMovieClipSub("syncSlot");</v>
      </c>
    </row>
    <row r="218" spans="1:15" ht="13.2" customHeight="1" x14ac:dyDescent="0.25">
      <c r="A218" s="1"/>
      <c r="B218" s="5" t="s">
        <v>500</v>
      </c>
      <c r="C218" s="1">
        <f t="shared" ca="1" si="22"/>
        <v>3</v>
      </c>
      <c r="D218" s="1" t="s">
        <v>316</v>
      </c>
      <c r="E218" s="1"/>
      <c r="F218" s="1"/>
      <c r="G218" s="1" t="s">
        <v>669</v>
      </c>
      <c r="H218" s="1" t="str">
        <f t="shared" ca="1" si="23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4"/>
        <v>createCase</v>
      </c>
      <c r="K218" s="1" t="str">
        <f t="shared" si="20"/>
        <v>syncSlotCase</v>
      </c>
      <c r="L218" s="1"/>
      <c r="M218" s="1"/>
      <c r="N218" s="14" t="str">
        <f t="shared" ca="1" si="25"/>
        <v>MCCase * game2SyncSlotSyncSlotCase;</v>
      </c>
      <c r="O218" s="14" t="str">
        <f t="shared" ca="1" si="21"/>
        <v>game2SyncSlotSyncSlotCase= game2SyncSlot-&gt;createCase("syncSlotCase");</v>
      </c>
    </row>
    <row r="219" spans="1:15" ht="13.2" customHeight="1" x14ac:dyDescent="0.25">
      <c r="A219" s="1"/>
      <c r="B219" s="4" t="s">
        <v>501</v>
      </c>
      <c r="C219" s="1">
        <f t="shared" ca="1" si="22"/>
        <v>2</v>
      </c>
      <c r="D219" s="1" t="s">
        <v>316</v>
      </c>
      <c r="E219" s="1"/>
      <c r="F219" s="1"/>
      <c r="G219" s="1" t="s">
        <v>616</v>
      </c>
      <c r="H219" s="1" t="str">
        <f t="shared" ca="1" si="23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4"/>
        <v>createMovieClipSub</v>
      </c>
      <c r="K219" s="1" t="str">
        <f t="shared" si="20"/>
        <v>deleteSlot</v>
      </c>
      <c r="L219" s="1"/>
      <c r="M219" s="1"/>
      <c r="N219" s="14" t="str">
        <f t="shared" ca="1" si="25"/>
        <v>MovieClipSub * game2DeleteSlot;</v>
      </c>
      <c r="O219" s="14" t="str">
        <f t="shared" ca="1" si="21"/>
        <v>game2DeleteSlot= game2-&gt;createMovieClipSub("deleteSlot");</v>
      </c>
    </row>
    <row r="220" spans="1:15" ht="13.2" customHeight="1" x14ac:dyDescent="0.25">
      <c r="A220" s="1"/>
      <c r="B220" s="5" t="s">
        <v>502</v>
      </c>
      <c r="C220" s="1">
        <f t="shared" ca="1" si="22"/>
        <v>3</v>
      </c>
      <c r="D220" s="1" t="s">
        <v>316</v>
      </c>
      <c r="E220" s="1"/>
      <c r="F220" s="1"/>
      <c r="G220" s="1" t="s">
        <v>669</v>
      </c>
      <c r="H220" s="1" t="str">
        <f t="shared" ca="1" si="23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4"/>
        <v>createCase</v>
      </c>
      <c r="K220" s="1" t="str">
        <f t="shared" si="20"/>
        <v>deleteSlotCase</v>
      </c>
      <c r="L220" s="1"/>
      <c r="M220" s="1"/>
      <c r="N220" s="14" t="str">
        <f t="shared" ca="1" si="25"/>
        <v>MCCase * game2DeleteSlotDeleteSlotCase;</v>
      </c>
      <c r="O220" s="14" t="str">
        <f t="shared" ca="1" si="21"/>
        <v>game2DeleteSlotDeleteSlotCase= game2DeleteSlot-&gt;createCase("deleteSlotCase");</v>
      </c>
    </row>
    <row r="221" spans="1:15" ht="13.2" customHeight="1" x14ac:dyDescent="0.25">
      <c r="A221" s="1"/>
      <c r="B221" s="4" t="s">
        <v>505</v>
      </c>
      <c r="C221" s="1">
        <f t="shared" ca="1" si="22"/>
        <v>2</v>
      </c>
      <c r="D221" s="1" t="s">
        <v>316</v>
      </c>
      <c r="E221" s="1"/>
      <c r="F221" s="1"/>
      <c r="G221" s="1" t="s">
        <v>671</v>
      </c>
      <c r="H221" s="1" t="str">
        <f t="shared" ca="1" si="23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4"/>
        <v>createText</v>
      </c>
      <c r="K221" s="1" t="str">
        <f t="shared" si="20"/>
        <v>numTXT</v>
      </c>
      <c r="L221" s="1"/>
      <c r="M221" s="1"/>
      <c r="N221" s="14" t="str">
        <f t="shared" ca="1" si="25"/>
        <v>MCText * game2NumTXT;</v>
      </c>
      <c r="O221" s="14" t="str">
        <f t="shared" ca="1" si="21"/>
        <v>game2NumTXT= game2-&gt;createText("numTXT");</v>
      </c>
    </row>
    <row r="222" spans="1:15" ht="13.2" customHeight="1" x14ac:dyDescent="0.25">
      <c r="A222" s="1"/>
      <c r="B222" s="3" t="s">
        <v>484</v>
      </c>
      <c r="C222" s="1">
        <f t="shared" ca="1" si="22"/>
        <v>1</v>
      </c>
      <c r="D222" s="1" t="s">
        <v>316</v>
      </c>
      <c r="E222" s="1"/>
      <c r="F222" s="1"/>
      <c r="G222" s="1" t="s">
        <v>616</v>
      </c>
      <c r="H222" s="1" t="str">
        <f t="shared" ca="1" si="23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4"/>
        <v>createMovieClipSub</v>
      </c>
      <c r="K222" s="1" t="str">
        <f t="shared" si="20"/>
        <v>game3</v>
      </c>
      <c r="L222" s="1"/>
      <c r="M222" s="1"/>
      <c r="N222" s="14" t="str">
        <f t="shared" ca="1" si="25"/>
        <v>MovieClipSub * game3;</v>
      </c>
      <c r="O222" s="14" t="str">
        <f t="shared" ca="1" si="21"/>
        <v>game3= this-&gt;createMovieClipSub("game3");</v>
      </c>
    </row>
    <row r="223" spans="1:15" ht="13.2" customHeight="1" x14ac:dyDescent="0.25">
      <c r="A223" s="1"/>
      <c r="B223" s="4" t="s">
        <v>506</v>
      </c>
      <c r="C223" s="1">
        <f t="shared" ca="1" si="22"/>
        <v>2</v>
      </c>
      <c r="D223" s="1" t="s">
        <v>316</v>
      </c>
      <c r="E223" s="1"/>
      <c r="F223" s="1"/>
      <c r="G223" s="1" t="s">
        <v>669</v>
      </c>
      <c r="H223" s="1" t="str">
        <f t="shared" ca="1" si="23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4"/>
        <v>createCase</v>
      </c>
      <c r="K223" s="1" t="str">
        <f t="shared" si="20"/>
        <v>newGame3Case</v>
      </c>
      <c r="L223" s="1"/>
      <c r="M223" s="1"/>
      <c r="N223" s="14" t="str">
        <f t="shared" ca="1" si="25"/>
        <v>MCCase * game3NewGame3Case;</v>
      </c>
      <c r="O223" s="14" t="str">
        <f t="shared" ca="1" si="21"/>
        <v>game3NewGame3Case= game3-&gt;createCase("newGame3Case");</v>
      </c>
    </row>
    <row r="224" spans="1:15" ht="13.2" customHeight="1" x14ac:dyDescent="0.25">
      <c r="A224" s="1"/>
      <c r="B224" s="4" t="s">
        <v>507</v>
      </c>
      <c r="C224" s="1">
        <f t="shared" ca="1" si="22"/>
        <v>2</v>
      </c>
      <c r="D224" s="1" t="s">
        <v>316</v>
      </c>
      <c r="E224" s="1"/>
      <c r="F224" s="1"/>
      <c r="G224" s="1" t="s">
        <v>669</v>
      </c>
      <c r="H224" s="1" t="str">
        <f t="shared" ca="1" si="23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4"/>
        <v>createCase</v>
      </c>
      <c r="K224" s="1" t="str">
        <f t="shared" si="20"/>
        <v>game3Case</v>
      </c>
      <c r="L224" s="1"/>
      <c r="M224" s="1"/>
      <c r="N224" s="14" t="str">
        <f t="shared" ca="1" si="25"/>
        <v>MCCase * game3Game3Case;</v>
      </c>
      <c r="O224" s="14" t="str">
        <f t="shared" ca="1" si="21"/>
        <v>game3Game3Case= game3-&gt;createCase("game3Case");</v>
      </c>
    </row>
    <row r="225" spans="1:15" ht="13.2" customHeight="1" x14ac:dyDescent="0.25">
      <c r="A225" s="1"/>
      <c r="B225" s="4" t="s">
        <v>499</v>
      </c>
      <c r="C225" s="1">
        <f t="shared" ca="1" si="22"/>
        <v>2</v>
      </c>
      <c r="D225" s="1" t="s">
        <v>316</v>
      </c>
      <c r="E225" s="1"/>
      <c r="F225" s="1"/>
      <c r="G225" s="1" t="s">
        <v>616</v>
      </c>
      <c r="H225" s="1" t="str">
        <f t="shared" ca="1" si="23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4"/>
        <v>createMovieClipSub</v>
      </c>
      <c r="K225" s="1" t="str">
        <f t="shared" si="20"/>
        <v>syncSlot</v>
      </c>
      <c r="L225" s="1"/>
      <c r="M225" s="1"/>
      <c r="N225" s="14" t="str">
        <f t="shared" ca="1" si="25"/>
        <v>MovieClipSub * game3SyncSlot;</v>
      </c>
      <c r="O225" s="14" t="str">
        <f t="shared" ca="1" si="21"/>
        <v>game3SyncSlot= game3-&gt;createMovieClipSub("syncSlot");</v>
      </c>
    </row>
    <row r="226" spans="1:15" ht="13.2" customHeight="1" x14ac:dyDescent="0.25">
      <c r="A226" s="1"/>
      <c r="B226" s="5" t="s">
        <v>500</v>
      </c>
      <c r="C226" s="1">
        <f t="shared" ca="1" si="22"/>
        <v>3</v>
      </c>
      <c r="D226" s="1" t="s">
        <v>316</v>
      </c>
      <c r="E226" s="1"/>
      <c r="F226" s="1"/>
      <c r="G226" s="1" t="s">
        <v>669</v>
      </c>
      <c r="H226" s="1" t="str">
        <f t="shared" ca="1" si="23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4"/>
        <v>createCase</v>
      </c>
      <c r="K226" s="1" t="str">
        <f t="shared" si="20"/>
        <v>syncSlotCase</v>
      </c>
      <c r="L226" s="1"/>
      <c r="M226" s="1"/>
      <c r="N226" s="14" t="str">
        <f t="shared" ca="1" si="25"/>
        <v>MCCase * game3SyncSlotSyncSlotCase;</v>
      </c>
      <c r="O226" s="14" t="str">
        <f t="shared" ca="1" si="21"/>
        <v>game3SyncSlotSyncSlotCase= game3SyncSlot-&gt;createCase("syncSlotCase");</v>
      </c>
    </row>
    <row r="227" spans="1:15" ht="13.2" customHeight="1" x14ac:dyDescent="0.25">
      <c r="A227" s="1"/>
      <c r="B227" s="4" t="s">
        <v>501</v>
      </c>
      <c r="C227" s="1">
        <f t="shared" ca="1" si="22"/>
        <v>2</v>
      </c>
      <c r="D227" s="1" t="s">
        <v>316</v>
      </c>
      <c r="E227" s="1"/>
      <c r="F227" s="1"/>
      <c r="G227" s="1" t="s">
        <v>616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4"/>
        <v>createMovieClipSub</v>
      </c>
      <c r="K227" s="1" t="str">
        <f t="shared" si="20"/>
        <v>deleteSlot</v>
      </c>
      <c r="L227" s="1"/>
      <c r="M227" s="1"/>
      <c r="N227" s="14" t="str">
        <f t="shared" ca="1" si="25"/>
        <v>MovieClipSub * game3DeleteSlot;</v>
      </c>
      <c r="O227" s="14" t="str">
        <f t="shared" ca="1" si="21"/>
        <v>game3DeleteSlot= game3-&gt;createMovieClipSub("deleteSlot");</v>
      </c>
    </row>
    <row r="228" spans="1:15" ht="13.2" customHeight="1" x14ac:dyDescent="0.25">
      <c r="A228" s="1"/>
      <c r="B228" s="5" t="s">
        <v>502</v>
      </c>
      <c r="C228" s="1">
        <f t="shared" ca="1" si="22"/>
        <v>3</v>
      </c>
      <c r="D228" s="1" t="s">
        <v>316</v>
      </c>
      <c r="E228" s="1"/>
      <c r="F228" s="1"/>
      <c r="G228" s="1" t="s">
        <v>669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4"/>
        <v>createCase</v>
      </c>
      <c r="K228" s="1" t="str">
        <f t="shared" si="20"/>
        <v>deleteSlotCase</v>
      </c>
      <c r="L228" s="1"/>
      <c r="M228" s="1"/>
      <c r="N228" s="14" t="str">
        <f t="shared" ca="1" si="25"/>
        <v>MCCase * game3DeleteSlotDeleteSlotCase;</v>
      </c>
      <c r="O228" s="14" t="str">
        <f t="shared" ca="1" si="21"/>
        <v>game3DeleteSlotDeleteSlotCase= game3DeleteSlot-&gt;createCase("deleteSlotCase");</v>
      </c>
    </row>
    <row r="229" spans="1:15" ht="13.2" customHeight="1" x14ac:dyDescent="0.25">
      <c r="A229" s="1"/>
      <c r="B229" s="4" t="s">
        <v>505</v>
      </c>
      <c r="C229" s="1">
        <f t="shared" ca="1" si="22"/>
        <v>2</v>
      </c>
      <c r="D229" s="1" t="s">
        <v>316</v>
      </c>
      <c r="E229" s="1"/>
      <c r="F229" s="1"/>
      <c r="G229" s="1" t="s">
        <v>671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4"/>
        <v>createText</v>
      </c>
      <c r="K229" s="1" t="str">
        <f t="shared" si="20"/>
        <v>numTXT</v>
      </c>
      <c r="L229" s="1"/>
      <c r="M229" s="1"/>
      <c r="N229" s="14" t="str">
        <f t="shared" ca="1" si="25"/>
        <v>MCText * game3NumTXT;</v>
      </c>
      <c r="O229" s="14" t="str">
        <f t="shared" ca="1" si="21"/>
        <v>game3NumTXT= game3-&gt;createText("numTXT");</v>
      </c>
    </row>
    <row r="230" spans="1:15" x14ac:dyDescent="0.25">
      <c r="A230" s="1"/>
      <c r="B230" s="3" t="s">
        <v>485</v>
      </c>
      <c r="C230" s="1">
        <f t="shared" ca="1" si="22"/>
        <v>1</v>
      </c>
      <c r="D230" s="1" t="s">
        <v>316</v>
      </c>
      <c r="E230" s="1"/>
      <c r="F230" s="1"/>
      <c r="G230" s="1" t="s">
        <v>616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4"/>
        <v>createMovieClipSub</v>
      </c>
      <c r="K230" s="1" t="str">
        <f t="shared" si="20"/>
        <v>glitter</v>
      </c>
      <c r="L230" s="1"/>
      <c r="M230" s="1"/>
      <c r="N230" s="14" t="str">
        <f t="shared" ca="1" si="25"/>
        <v>MovieClipSub * glitter;</v>
      </c>
      <c r="O230" s="14" t="str">
        <f t="shared" ca="1" si="21"/>
        <v>glitter= this-&gt;createMovieClipSub("glitter");</v>
      </c>
    </row>
    <row r="231" spans="1:15" x14ac:dyDescent="0.25">
      <c r="A231" s="1"/>
      <c r="B231" s="3" t="s">
        <v>486</v>
      </c>
      <c r="C231" s="1">
        <f t="shared" ca="1" si="22"/>
        <v>1</v>
      </c>
      <c r="D231" s="1" t="s">
        <v>316</v>
      </c>
      <c r="E231" s="1"/>
      <c r="F231" s="1"/>
      <c r="G231" s="1" t="s">
        <v>616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4"/>
        <v>createMovieClipSub</v>
      </c>
      <c r="K231" s="1" t="str">
        <f t="shared" si="20"/>
        <v>logOut</v>
      </c>
      <c r="L231" s="1"/>
      <c r="M231" s="1"/>
      <c r="N231" s="14" t="str">
        <f t="shared" ca="1" si="25"/>
        <v>MovieClipSub * logOut;</v>
      </c>
      <c r="O231" s="14" t="str">
        <f t="shared" ca="1" si="21"/>
        <v>logOut= this-&gt;createMovieClipSub("logOut");</v>
      </c>
    </row>
    <row r="232" spans="1:15" x14ac:dyDescent="0.25">
      <c r="A232" s="1"/>
      <c r="B232" s="3" t="s">
        <v>487</v>
      </c>
      <c r="C232" s="1">
        <f t="shared" ca="1" si="22"/>
        <v>1</v>
      </c>
      <c r="D232" s="1" t="s">
        <v>316</v>
      </c>
      <c r="E232" s="1"/>
      <c r="F232" s="1"/>
      <c r="G232" s="1" t="s">
        <v>616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4"/>
        <v>createMovieClipSub</v>
      </c>
      <c r="K232" s="1" t="str">
        <f t="shared" si="20"/>
        <v>logo</v>
      </c>
      <c r="L232" s="1"/>
      <c r="M232" s="1"/>
      <c r="N232" s="14" t="str">
        <f t="shared" ca="1" si="25"/>
        <v>MovieClipSub * logo;</v>
      </c>
      <c r="O232" s="14" t="str">
        <f t="shared" ca="1" si="21"/>
        <v>logo= this-&gt;createMovieClipSub("logo");</v>
      </c>
    </row>
    <row r="233" spans="1:15" x14ac:dyDescent="0.25">
      <c r="A233" s="1"/>
      <c r="B233" s="3" t="s">
        <v>386</v>
      </c>
      <c r="C233" s="1">
        <f t="shared" ca="1" si="22"/>
        <v>1</v>
      </c>
      <c r="D233" s="1" t="s">
        <v>316</v>
      </c>
      <c r="E233" s="1"/>
      <c r="F233" s="1"/>
      <c r="G233" s="1" t="s">
        <v>616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4"/>
        <v>createMovieClipSub</v>
      </c>
      <c r="K233" s="1" t="str">
        <f t="shared" si="20"/>
        <v>question</v>
      </c>
      <c r="L233" s="1"/>
      <c r="M233" s="1"/>
      <c r="N233" s="14" t="str">
        <f t="shared" ca="1" si="25"/>
        <v>MovieClipSub * question;</v>
      </c>
      <c r="O233" s="14" t="str">
        <f t="shared" ca="1" si="21"/>
        <v>question= this-&gt;createMovieClipSub("question");</v>
      </c>
    </row>
    <row r="234" spans="1:15" x14ac:dyDescent="0.25">
      <c r="A234" s="1"/>
      <c r="B234" s="4" t="s">
        <v>387</v>
      </c>
      <c r="C234" s="1">
        <f t="shared" ca="1" si="22"/>
        <v>2</v>
      </c>
      <c r="D234" s="1" t="s">
        <v>316</v>
      </c>
      <c r="E234" s="1"/>
      <c r="F234" s="1"/>
      <c r="G234" s="1" t="s">
        <v>616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4"/>
        <v>createMovieClipSub</v>
      </c>
      <c r="K234" s="1" t="str">
        <f t="shared" si="20"/>
        <v>btnYes</v>
      </c>
      <c r="L234" s="1"/>
      <c r="M234" s="1"/>
      <c r="N234" s="14" t="str">
        <f t="shared" ca="1" si="25"/>
        <v>MovieClipSub * questionBtnYes;</v>
      </c>
      <c r="O234" s="14" t="str">
        <f t="shared" ca="1" si="21"/>
        <v>questionBtnYes= question-&gt;createMovieClipSub("btnYes");</v>
      </c>
    </row>
    <row r="235" spans="1:15" x14ac:dyDescent="0.25">
      <c r="A235" s="1"/>
      <c r="B235" s="5" t="s">
        <v>389</v>
      </c>
      <c r="C235" s="1">
        <f t="shared" ca="1" si="22"/>
        <v>3</v>
      </c>
      <c r="D235" s="1" t="s">
        <v>316</v>
      </c>
      <c r="E235" s="1"/>
      <c r="F235" s="1"/>
      <c r="G235" s="1" t="s">
        <v>669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4"/>
        <v>createCase</v>
      </c>
      <c r="K235" s="1" t="str">
        <f t="shared" si="20"/>
        <v>yesCase</v>
      </c>
      <c r="L235" s="1"/>
      <c r="M235" s="1"/>
      <c r="N235" s="14" t="str">
        <f t="shared" ca="1" si="25"/>
        <v>MCCase * questionBtnYesYesCase;</v>
      </c>
      <c r="O235" s="14" t="str">
        <f t="shared" ca="1" si="21"/>
        <v>questionBtnYesYesCase= questionBtnYes-&gt;createCase("yesCase");</v>
      </c>
    </row>
    <row r="236" spans="1:15" x14ac:dyDescent="0.25">
      <c r="A236" s="1"/>
      <c r="B236" s="4" t="s">
        <v>388</v>
      </c>
      <c r="C236" s="1">
        <f t="shared" ca="1" si="22"/>
        <v>2</v>
      </c>
      <c r="D236" s="1" t="s">
        <v>316</v>
      </c>
      <c r="E236" s="1"/>
      <c r="F236" s="1"/>
      <c r="G236" s="1" t="s">
        <v>616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4"/>
        <v>createMovieClipSub</v>
      </c>
      <c r="K236" s="1" t="str">
        <f t="shared" si="20"/>
        <v>btnNo</v>
      </c>
      <c r="L236" s="1"/>
      <c r="M236" s="1"/>
      <c r="N236" s="14" t="str">
        <f t="shared" ca="1" si="25"/>
        <v>MovieClipSub * questionBtnNo;</v>
      </c>
      <c r="O236" s="14" t="str">
        <f t="shared" ca="1" si="21"/>
        <v>questionBtnNo= question-&gt;createMovieClipSub("btnNo");</v>
      </c>
    </row>
    <row r="237" spans="1:15" x14ac:dyDescent="0.25">
      <c r="A237" s="1"/>
      <c r="B237" s="5" t="s">
        <v>390</v>
      </c>
      <c r="C237" s="1">
        <f t="shared" ca="1" si="22"/>
        <v>3</v>
      </c>
      <c r="D237" s="1" t="s">
        <v>316</v>
      </c>
      <c r="E237" s="1"/>
      <c r="F237" s="1"/>
      <c r="G237" s="1" t="s">
        <v>669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4"/>
        <v>createCase</v>
      </c>
      <c r="K237" s="1" t="str">
        <f t="shared" si="20"/>
        <v>noCase</v>
      </c>
      <c r="L237" s="1"/>
      <c r="M237" s="1"/>
      <c r="N237" s="14" t="str">
        <f t="shared" ca="1" si="25"/>
        <v>MCCase * questionBtnNoNoCase;</v>
      </c>
      <c r="O237" s="14" t="str">
        <f t="shared" ca="1" si="21"/>
        <v>questionBtnNoNoCase= questionBtnNo-&gt;createCase("noCase");</v>
      </c>
    </row>
    <row r="238" spans="1:15" x14ac:dyDescent="0.25">
      <c r="A238" s="1"/>
      <c r="B238" s="4" t="s">
        <v>154</v>
      </c>
      <c r="C238" s="1">
        <f t="shared" ca="1" si="22"/>
        <v>2</v>
      </c>
      <c r="D238" s="1" t="s">
        <v>316</v>
      </c>
      <c r="E238" s="1"/>
      <c r="F238" s="1"/>
      <c r="G238" s="1" t="s">
        <v>671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4"/>
        <v>createText</v>
      </c>
      <c r="K238" s="1" t="str">
        <f t="shared" si="20"/>
        <v>noteTXT</v>
      </c>
      <c r="L238" s="1"/>
      <c r="M238" s="1"/>
      <c r="N238" s="14" t="str">
        <f t="shared" ca="1" si="25"/>
        <v>MCText * questionNoteTXT;</v>
      </c>
      <c r="O238" s="14" t="str">
        <f t="shared" ca="1" si="21"/>
        <v>questionNoteTXT= question-&gt;createText("noteTXT");</v>
      </c>
    </row>
    <row r="239" spans="1:15" x14ac:dyDescent="0.25">
      <c r="A239" s="1"/>
      <c r="B239" s="3" t="s">
        <v>488</v>
      </c>
      <c r="C239" s="1">
        <f t="shared" ca="1" si="22"/>
        <v>1</v>
      </c>
      <c r="D239" s="1" t="s">
        <v>316</v>
      </c>
      <c r="E239" s="1"/>
      <c r="F239" s="1"/>
      <c r="G239" s="1" t="s">
        <v>616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4"/>
        <v>createMovieClipSub</v>
      </c>
      <c r="K239" s="1" t="str">
        <f t="shared" si="20"/>
        <v>saveType</v>
      </c>
      <c r="L239" s="1"/>
      <c r="M239" s="1"/>
      <c r="N239" s="14" t="str">
        <f t="shared" ca="1" si="25"/>
        <v>MovieClipSub * saveType;</v>
      </c>
      <c r="O239" s="14" t="str">
        <f t="shared" ca="1" si="21"/>
        <v>saveType= this-&gt;createMovieClipSub("saveType");</v>
      </c>
    </row>
    <row r="240" spans="1:15" x14ac:dyDescent="0.25">
      <c r="A240" s="1"/>
      <c r="B240" s="4" t="s">
        <v>493</v>
      </c>
      <c r="C240" s="1">
        <f t="shared" ca="1" si="22"/>
        <v>2</v>
      </c>
      <c r="D240" s="1" t="s">
        <v>316</v>
      </c>
      <c r="E240" s="1"/>
      <c r="F240" s="1"/>
      <c r="G240" s="1" t="s">
        <v>616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4"/>
        <v>createMovieClipSub</v>
      </c>
      <c r="K240" s="1" t="str">
        <f t="shared" si="20"/>
        <v>localSave</v>
      </c>
      <c r="L240" s="1"/>
      <c r="M240" s="1"/>
      <c r="N240" s="14" t="str">
        <f t="shared" ca="1" si="25"/>
        <v>MovieClipSub * saveTypeLocalSave;</v>
      </c>
      <c r="O240" s="14" t="str">
        <f t="shared" ca="1" si="21"/>
        <v>saveTypeLocalSave= saveType-&gt;createMovieClipSub("localSave");</v>
      </c>
    </row>
    <row r="241" spans="1:15" x14ac:dyDescent="0.25">
      <c r="A241" s="1"/>
      <c r="B241" s="5" t="s">
        <v>495</v>
      </c>
      <c r="C241" s="1">
        <f t="shared" ca="1" si="22"/>
        <v>3</v>
      </c>
      <c r="D241" s="1" t="s">
        <v>316</v>
      </c>
      <c r="E241" s="1"/>
      <c r="F241" s="1"/>
      <c r="G241" s="1" t="s">
        <v>669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4"/>
        <v>createCase</v>
      </c>
      <c r="K241" s="1" t="str">
        <f t="shared" si="20"/>
        <v>localSaveCase</v>
      </c>
      <c r="L241" s="1"/>
      <c r="M241" s="1"/>
      <c r="N241" s="14" t="str">
        <f t="shared" ca="1" si="25"/>
        <v>MCCase * saveTypeLocalSaveLocalSaveCase;</v>
      </c>
      <c r="O241" s="14" t="str">
        <f t="shared" ca="1" si="21"/>
        <v>saveTypeLocalSaveLocalSaveCase= saveTypeLocalSave-&gt;createCase("localSaveCase");</v>
      </c>
    </row>
    <row r="242" spans="1:15" x14ac:dyDescent="0.25">
      <c r="A242" s="1"/>
      <c r="B242" s="4" t="s">
        <v>494</v>
      </c>
      <c r="C242" s="1">
        <f t="shared" ca="1" si="22"/>
        <v>2</v>
      </c>
      <c r="D242" s="1" t="s">
        <v>316</v>
      </c>
      <c r="E242" s="1"/>
      <c r="F242" s="1"/>
      <c r="G242" s="1" t="s">
        <v>616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4"/>
        <v>createMovieClipSub</v>
      </c>
      <c r="K242" s="1" t="str">
        <f t="shared" si="20"/>
        <v>onlineSave</v>
      </c>
      <c r="L242" s="1"/>
      <c r="M242" s="1"/>
      <c r="N242" s="14" t="str">
        <f t="shared" ca="1" si="25"/>
        <v>MovieClipSub * saveTypeOnlineSave;</v>
      </c>
      <c r="O242" s="14" t="str">
        <f t="shared" ca="1" si="21"/>
        <v>saveTypeOnlineSave= saveType-&gt;createMovieClipSub("onlineSave");</v>
      </c>
    </row>
    <row r="243" spans="1:15" x14ac:dyDescent="0.25">
      <c r="A243" s="1"/>
      <c r="B243" s="5" t="s">
        <v>496</v>
      </c>
      <c r="C243" s="1">
        <f t="shared" ca="1" si="22"/>
        <v>3</v>
      </c>
      <c r="D243" s="1" t="s">
        <v>316</v>
      </c>
      <c r="E243" s="1"/>
      <c r="F243" s="1"/>
      <c r="G243" s="1" t="s">
        <v>669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4"/>
        <v>createCase</v>
      </c>
      <c r="K243" s="1" t="str">
        <f t="shared" si="20"/>
        <v>onlineSaveCase</v>
      </c>
      <c r="L243" s="1"/>
      <c r="M243" s="1"/>
      <c r="N243" s="14" t="str">
        <f t="shared" ca="1" si="25"/>
        <v>MCCase * saveTypeOnlineSaveOnlineSaveCase;</v>
      </c>
      <c r="O243" s="14" t="str">
        <f t="shared" ca="1" si="21"/>
        <v>saveTypeOnlineSaveOnlineSaveCase= saveTypeOnlineSave-&gt;createCase("onlineSaveCase");</v>
      </c>
    </row>
    <row r="244" spans="1:15" x14ac:dyDescent="0.25">
      <c r="A244" s="1"/>
      <c r="B244" s="3" t="s">
        <v>354</v>
      </c>
      <c r="C244" s="1">
        <f t="shared" ca="1" si="22"/>
        <v>1</v>
      </c>
      <c r="D244" s="1" t="s">
        <v>316</v>
      </c>
      <c r="E244" s="1"/>
      <c r="F244" s="1"/>
      <c r="G244" s="1" t="s">
        <v>616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4"/>
        <v>createMovieClipSub</v>
      </c>
      <c r="K244" s="1" t="str">
        <f t="shared" si="20"/>
        <v>start</v>
      </c>
      <c r="L244" s="1"/>
      <c r="M244" s="1"/>
      <c r="N244" s="14" t="str">
        <f t="shared" ca="1" si="25"/>
        <v>MovieClipSub * start;</v>
      </c>
      <c r="O244" s="14" t="str">
        <f t="shared" ca="1" si="21"/>
        <v>start= this-&gt;createMovieClipSub("start");</v>
      </c>
    </row>
    <row r="245" spans="1:15" x14ac:dyDescent="0.25">
      <c r="A245" s="1"/>
      <c r="B245" s="4" t="s">
        <v>508</v>
      </c>
      <c r="C245" s="1">
        <f t="shared" ca="1" si="22"/>
        <v>2</v>
      </c>
      <c r="D245" s="1" t="s">
        <v>316</v>
      </c>
      <c r="E245" s="1"/>
      <c r="F245" s="1"/>
      <c r="G245" s="1" t="s">
        <v>669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4"/>
        <v>createCase</v>
      </c>
      <c r="K245" s="1" t="str">
        <f t="shared" si="20"/>
        <v>startCase</v>
      </c>
      <c r="L245" s="1"/>
      <c r="M245" s="1"/>
      <c r="N245" s="14" t="str">
        <f t="shared" ca="1" si="25"/>
        <v>MCCase * startStartCase;</v>
      </c>
      <c r="O245" s="14" t="str">
        <f t="shared" ca="1" si="21"/>
        <v>startStartCase= start-&gt;createCase("startCase");</v>
      </c>
    </row>
    <row r="246" spans="1:15" x14ac:dyDescent="0.25">
      <c r="A246" s="1" t="s">
        <v>510</v>
      </c>
      <c r="B246" s="1" t="s">
        <v>509</v>
      </c>
      <c r="C246" s="1">
        <f t="shared" ca="1" si="22"/>
        <v>0</v>
      </c>
      <c r="D246" s="1" t="s">
        <v>316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4"/>
        <v>create</v>
      </c>
      <c r="K246" s="1" t="str">
        <f t="shared" si="20"/>
        <v>Upgrades_mc</v>
      </c>
      <c r="L246" s="1"/>
      <c r="M246" s="1"/>
      <c r="N246" s="14" t="str">
        <f t="shared" ca="1" si="25"/>
        <v/>
      </c>
      <c r="O246" s="14" t="str">
        <f t="shared" ca="1" si="21"/>
        <v>Upgrades_mc::Upgrades_mc:("screen/","Upgrades_mc","Upgrades_mc"{)</v>
      </c>
    </row>
    <row r="247" spans="1:15" x14ac:dyDescent="0.25">
      <c r="A247" s="1"/>
      <c r="B247" s="3" t="s">
        <v>293</v>
      </c>
      <c r="C247" s="1">
        <f t="shared" ca="1" si="22"/>
        <v>1</v>
      </c>
      <c r="D247" s="1" t="s">
        <v>316</v>
      </c>
      <c r="E247" s="1"/>
      <c r="F247" s="1"/>
      <c r="G247" s="1" t="s">
        <v>616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4"/>
        <v>createMovieClipSub</v>
      </c>
      <c r="K247" s="1" t="str">
        <f t="shared" si="20"/>
        <v>back</v>
      </c>
      <c r="L247" s="1"/>
      <c r="M247" s="1"/>
      <c r="N247" s="14" t="str">
        <f t="shared" ca="1" si="25"/>
        <v>MovieClipSub * back;</v>
      </c>
      <c r="O247" s="14" t="str">
        <f t="shared" ca="1" si="21"/>
        <v>back= this-&gt;createMovieClipSub("back");</v>
      </c>
    </row>
    <row r="248" spans="1:15" x14ac:dyDescent="0.25">
      <c r="A248" s="1"/>
      <c r="B248" s="4" t="s">
        <v>318</v>
      </c>
      <c r="C248" s="1">
        <f t="shared" ca="1" si="22"/>
        <v>2</v>
      </c>
      <c r="D248" s="1" t="s">
        <v>316</v>
      </c>
      <c r="E248" s="1"/>
      <c r="F248" s="1"/>
      <c r="G248" s="1" t="s">
        <v>669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4"/>
        <v>createCase</v>
      </c>
      <c r="K248" s="1" t="str">
        <f t="shared" si="20"/>
        <v>backCase</v>
      </c>
      <c r="L248" s="1"/>
      <c r="M248" s="1"/>
      <c r="N248" s="14" t="str">
        <f t="shared" ca="1" si="25"/>
        <v>MCCase * backBackCase;</v>
      </c>
      <c r="O248" s="14" t="str">
        <f t="shared" ca="1" si="21"/>
        <v>backBackCase= back-&gt;createCase("backCase");</v>
      </c>
    </row>
    <row r="249" spans="1:15" x14ac:dyDescent="0.25">
      <c r="A249" s="1"/>
      <c r="B249" s="3" t="s">
        <v>364</v>
      </c>
      <c r="C249" s="1">
        <f t="shared" ca="1" si="22"/>
        <v>1</v>
      </c>
      <c r="D249" s="1" t="s">
        <v>316</v>
      </c>
      <c r="E249" s="1"/>
      <c r="F249" s="1"/>
      <c r="G249" s="1" t="s">
        <v>616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4"/>
        <v>createMovieClipSub</v>
      </c>
      <c r="K249" s="1" t="str">
        <f t="shared" si="20"/>
        <v>shadow</v>
      </c>
      <c r="L249" s="1"/>
      <c r="M249" s="1"/>
      <c r="N249" s="14" t="str">
        <f t="shared" ca="1" si="25"/>
        <v>MovieClipSub * shadow;</v>
      </c>
      <c r="O249" s="14" t="str">
        <f t="shared" ca="1" si="21"/>
        <v>shadow= this-&gt;createMovieClipSub("shadow");</v>
      </c>
    </row>
    <row r="250" spans="1:15" x14ac:dyDescent="0.25">
      <c r="A250" s="1"/>
      <c r="B250" s="3" t="s">
        <v>80</v>
      </c>
      <c r="C250" s="1">
        <f t="shared" ca="1" si="22"/>
        <v>1</v>
      </c>
      <c r="D250" s="1" t="s">
        <v>316</v>
      </c>
      <c r="E250" s="1"/>
      <c r="F250" s="1"/>
      <c r="G250" s="1" t="s">
        <v>616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4"/>
        <v>createMovieClipSub</v>
      </c>
      <c r="K250" s="1" t="str">
        <f t="shared" si="20"/>
        <v>cont</v>
      </c>
      <c r="L250" s="1"/>
      <c r="M250" s="1"/>
      <c r="N250" s="14" t="str">
        <f t="shared" ca="1" si="25"/>
        <v>MovieClipSub * cont;</v>
      </c>
      <c r="O250" s="14" t="str">
        <f t="shared" ca="1" si="21"/>
        <v>cont= this-&gt;createMovieClipSub("cont");</v>
      </c>
    </row>
    <row r="251" spans="1:15" x14ac:dyDescent="0.25">
      <c r="A251" s="1"/>
      <c r="B251" s="4" t="s">
        <v>511</v>
      </c>
      <c r="C251" s="1">
        <f t="shared" ca="1" si="22"/>
        <v>2</v>
      </c>
      <c r="D251" s="1" t="s">
        <v>316</v>
      </c>
      <c r="E251" s="1"/>
      <c r="F251" s="1"/>
      <c r="G251" s="1" t="s">
        <v>616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4"/>
        <v>createMovieClipSub</v>
      </c>
      <c r="K251" s="1" t="str">
        <f t="shared" si="20"/>
        <v>btnReset</v>
      </c>
      <c r="L251" s="1"/>
      <c r="M251" s="1"/>
      <c r="N251" s="14" t="str">
        <f t="shared" ca="1" si="25"/>
        <v>MovieClipSub * contBtnReset;</v>
      </c>
      <c r="O251" s="14" t="str">
        <f t="shared" ca="1" si="21"/>
        <v>contBtnReset= cont-&gt;createMovieClipSub("btnReset");</v>
      </c>
    </row>
    <row r="252" spans="1:15" x14ac:dyDescent="0.25">
      <c r="A252" s="1"/>
      <c r="B252" s="5" t="s">
        <v>541</v>
      </c>
      <c r="C252" s="1">
        <f t="shared" ca="1" si="22"/>
        <v>3</v>
      </c>
      <c r="D252" s="1" t="s">
        <v>316</v>
      </c>
      <c r="E252" s="1"/>
      <c r="F252" s="1"/>
      <c r="G252" s="1" t="s">
        <v>669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4"/>
        <v>createCase</v>
      </c>
      <c r="K252" s="1" t="str">
        <f t="shared" si="20"/>
        <v>resetCase</v>
      </c>
      <c r="L252" s="1"/>
      <c r="M252" s="1"/>
      <c r="N252" s="14" t="str">
        <f t="shared" ca="1" si="25"/>
        <v>MCCase * contBtnResetResetCase;</v>
      </c>
      <c r="O252" s="14" t="str">
        <f t="shared" ca="1" si="21"/>
        <v>contBtnResetResetCase= contBtnReset-&gt;createCase("resetCase");</v>
      </c>
    </row>
    <row r="253" spans="1:15" x14ac:dyDescent="0.25">
      <c r="A253" s="1"/>
      <c r="B253" s="4" t="s">
        <v>512</v>
      </c>
      <c r="C253" s="1">
        <f t="shared" ca="1" si="22"/>
        <v>2</v>
      </c>
      <c r="D253" s="1" t="s">
        <v>316</v>
      </c>
      <c r="E253" s="1"/>
      <c r="F253" s="1"/>
      <c r="G253" s="1" t="s">
        <v>616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4"/>
        <v>createMovieClipSub</v>
      </c>
      <c r="K253" s="1" t="str">
        <f t="shared" si="20"/>
        <v>btnAccept</v>
      </c>
      <c r="L253" s="1"/>
      <c r="M253" s="1"/>
      <c r="N253" s="14" t="str">
        <f t="shared" ca="1" si="25"/>
        <v>MovieClipSub * contBtnAccept;</v>
      </c>
      <c r="O253" s="14" t="str">
        <f t="shared" ca="1" si="21"/>
        <v>contBtnAccept= cont-&gt;createMovieClipSub("btnAccept");</v>
      </c>
    </row>
    <row r="254" spans="1:15" x14ac:dyDescent="0.25">
      <c r="A254" s="1"/>
      <c r="B254" s="5" t="s">
        <v>542</v>
      </c>
      <c r="C254" s="1">
        <f t="shared" ca="1" si="22"/>
        <v>3</v>
      </c>
      <c r="D254" s="1" t="s">
        <v>316</v>
      </c>
      <c r="E254" s="1"/>
      <c r="F254" s="1"/>
      <c r="G254" s="1" t="s">
        <v>669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4"/>
        <v>createCase</v>
      </c>
      <c r="K254" s="1" t="str">
        <f t="shared" si="20"/>
        <v>acceptCase</v>
      </c>
      <c r="L254" s="1"/>
      <c r="M254" s="1"/>
      <c r="N254" s="14" t="str">
        <f t="shared" ca="1" si="25"/>
        <v>MCCase * contBtnAcceptAcceptCase;</v>
      </c>
      <c r="O254" s="14" t="str">
        <f t="shared" ca="1" si="21"/>
        <v>contBtnAcceptAcceptCase= contBtnAccept-&gt;createCase("acceptCase");</v>
      </c>
    </row>
    <row r="255" spans="1:15" x14ac:dyDescent="0.25">
      <c r="A255" s="1"/>
      <c r="B255" s="4" t="s">
        <v>513</v>
      </c>
      <c r="C255" s="1">
        <f t="shared" ca="1" si="22"/>
        <v>2</v>
      </c>
      <c r="D255" s="1" t="s">
        <v>316</v>
      </c>
      <c r="E255" s="1"/>
      <c r="F255" s="1"/>
      <c r="G255" s="1" t="s">
        <v>616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4"/>
        <v>createMovieClipSub</v>
      </c>
      <c r="K255" s="1" t="str">
        <f t="shared" si="20"/>
        <v>golemArrow1</v>
      </c>
      <c r="L255" s="1"/>
      <c r="M255" s="1"/>
      <c r="N255" s="14" t="str">
        <f t="shared" ca="1" si="25"/>
        <v>MovieClipSub * contGolemArrow1;</v>
      </c>
      <c r="O255" s="14" t="str">
        <f t="shared" ca="1" si="21"/>
        <v>contGolemArrow1= cont-&gt;createMovieClipSub("golemArrow1");</v>
      </c>
    </row>
    <row r="256" spans="1:15" x14ac:dyDescent="0.25">
      <c r="A256" s="1"/>
      <c r="B256" s="4" t="s">
        <v>514</v>
      </c>
      <c r="C256" s="1">
        <f t="shared" ca="1" si="22"/>
        <v>2</v>
      </c>
      <c r="D256" s="1" t="s">
        <v>316</v>
      </c>
      <c r="E256" s="1"/>
      <c r="F256" s="1"/>
      <c r="G256" s="1" t="s">
        <v>616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4"/>
        <v>createMovieClipSub</v>
      </c>
      <c r="K256" s="1" t="str">
        <f t="shared" si="20"/>
        <v>golemArrow2</v>
      </c>
      <c r="L256" s="1"/>
      <c r="M256" s="1"/>
      <c r="N256" s="14" t="str">
        <f t="shared" ca="1" si="25"/>
        <v>MovieClipSub * contGolemArrow2;</v>
      </c>
      <c r="O256" s="14" t="str">
        <f t="shared" ca="1" si="21"/>
        <v>contGolemArrow2= cont-&gt;createMovieClipSub("golemArrow2");</v>
      </c>
    </row>
    <row r="257" spans="1:15" x14ac:dyDescent="0.25">
      <c r="A257" s="1"/>
      <c r="B257" s="4" t="s">
        <v>515</v>
      </c>
      <c r="C257" s="1">
        <f t="shared" ca="1" si="22"/>
        <v>2</v>
      </c>
      <c r="D257" s="1" t="s">
        <v>316</v>
      </c>
      <c r="E257" s="1"/>
      <c r="F257" s="1"/>
      <c r="G257" s="1" t="s">
        <v>616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4"/>
        <v>createMovieClipSub</v>
      </c>
      <c r="K257" s="1" t="str">
        <f t="shared" si="20"/>
        <v>golemArrow3</v>
      </c>
      <c r="L257" s="1"/>
      <c r="M257" s="1"/>
      <c r="N257" s="14" t="str">
        <f t="shared" ca="1" si="25"/>
        <v>MovieClipSub * contGolemArrow3;</v>
      </c>
      <c r="O257" s="14" t="str">
        <f t="shared" ca="1" si="21"/>
        <v>contGolemArrow3= cont-&gt;createMovieClipSub("golemArrow3");</v>
      </c>
    </row>
    <row r="258" spans="1:15" x14ac:dyDescent="0.25">
      <c r="A258" s="1"/>
      <c r="B258" s="4" t="s">
        <v>516</v>
      </c>
      <c r="C258" s="1">
        <f t="shared" ca="1" si="22"/>
        <v>2</v>
      </c>
      <c r="D258" s="1" t="s">
        <v>316</v>
      </c>
      <c r="E258" s="1"/>
      <c r="F258" s="1"/>
      <c r="G258" s="1" t="s">
        <v>616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4"/>
        <v>createMovieClipSub</v>
      </c>
      <c r="K258" s="1" t="str">
        <f t="shared" ref="K258:K321" si="27">B258</f>
        <v>golemArrow4</v>
      </c>
      <c r="L258" s="1"/>
      <c r="M258" s="1"/>
      <c r="N258" s="14" t="str">
        <f t="shared" ca="1" si="25"/>
        <v>MovieClipSub * contGolemArrow4;</v>
      </c>
      <c r="O258" s="14" t="str">
        <f t="shared" ref="O258:O321" ca="1" si="28">IF(C258&gt;0,IF(G258="MovieClip",IF(M258&lt;&gt;"y",H258&amp;"= "&amp;I258&amp;"-&gt;"&amp;J258&amp;"("""&amp;B258&amp;""","""&amp;D258&amp;"/"","""&amp;L258&amp;""","""&amp;K258&amp;""")"&amp;";",
H258&amp;"= "&amp;"("&amp;K258&amp;"*)"&amp;I258&amp;"-&gt;"&amp;J258&amp;"("""&amp;B258&amp;""",new "&amp;K258&amp;"())"&amp;";"
),H258&amp;"= "&amp;I258&amp;"-&gt;"&amp;J258&amp;"("""&amp;K258&amp;""")"&amp;";"),IF(RIGHT(B258,3)&lt;&gt;"_mc",G258&amp;"("""&amp;D258&amp;""","""&amp;B258&amp;""","""&amp;K258&amp;"""{)",B258&amp;"::"&amp;B258&amp;":"&amp;G258&amp;"("""&amp;D258&amp;"/"","""&amp;B258&amp;""","""&amp;K258&amp;"""{)"))</f>
        <v>contGolemArrow4= cont-&gt;createMovieClipSub("golemArrow4");</v>
      </c>
    </row>
    <row r="259" spans="1:15" x14ac:dyDescent="0.25">
      <c r="A259" s="1"/>
      <c r="B259" s="4" t="s">
        <v>517</v>
      </c>
      <c r="C259" s="1">
        <f t="shared" ref="C259:C322" ca="1" si="29">indent(B259)</f>
        <v>2</v>
      </c>
      <c r="D259" s="1" t="s">
        <v>316</v>
      </c>
      <c r="E259" s="1"/>
      <c r="F259" s="1"/>
      <c r="G259" s="1" t="s">
        <v>616</v>
      </c>
      <c r="H259" s="1" t="str">
        <f t="shared" ref="H259:H322" ca="1" si="30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1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4" t="str">
        <f t="shared" ca="1" si="25"/>
        <v>MovieClipSub * contIcemanArrow1;</v>
      </c>
      <c r="O259" s="14" t="str">
        <f t="shared" ca="1" si="28"/>
        <v>contIcemanArrow1= cont-&gt;createMovieClipSub("icemanArrow1");</v>
      </c>
    </row>
    <row r="260" spans="1:15" x14ac:dyDescent="0.25">
      <c r="A260" s="1"/>
      <c r="B260" s="4" t="s">
        <v>518</v>
      </c>
      <c r="C260" s="1">
        <f t="shared" ca="1" si="29"/>
        <v>2</v>
      </c>
      <c r="D260" s="1" t="s">
        <v>316</v>
      </c>
      <c r="E260" s="1"/>
      <c r="F260" s="1"/>
      <c r="G260" s="1" t="s">
        <v>616</v>
      </c>
      <c r="H260" s="1" t="str">
        <f t="shared" ca="1" si="30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1"/>
        <v>createMovieClipSub</v>
      </c>
      <c r="K260" s="1" t="str">
        <f t="shared" si="27"/>
        <v>icemanArrow2</v>
      </c>
      <c r="L260" s="1"/>
      <c r="M260" s="1"/>
      <c r="N260" s="14" t="str">
        <f t="shared" ref="N260:N323" ca="1" si="32">IF(C260&gt;0,G260 &amp; " * "&amp;H260 &amp;";","")</f>
        <v>MovieClipSub * contIcemanArrow2;</v>
      </c>
      <c r="O260" s="14" t="str">
        <f t="shared" ca="1" si="28"/>
        <v>contIcemanArrow2= cont-&gt;createMovieClipSub("icemanArrow2");</v>
      </c>
    </row>
    <row r="261" spans="1:15" x14ac:dyDescent="0.25">
      <c r="A261" s="1"/>
      <c r="B261" s="4" t="s">
        <v>519</v>
      </c>
      <c r="C261" s="1">
        <f t="shared" ca="1" si="29"/>
        <v>2</v>
      </c>
      <c r="D261" s="1" t="s">
        <v>316</v>
      </c>
      <c r="E261" s="1"/>
      <c r="F261" s="1"/>
      <c r="G261" s="1" t="s">
        <v>616</v>
      </c>
      <c r="H261" s="1" t="str">
        <f t="shared" ca="1" si="30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1"/>
        <v>createMovieClipSub</v>
      </c>
      <c r="K261" s="1" t="str">
        <f t="shared" si="27"/>
        <v>icemanArrow3</v>
      </c>
      <c r="L261" s="1"/>
      <c r="M261" s="1"/>
      <c r="N261" s="14" t="str">
        <f t="shared" ca="1" si="32"/>
        <v>MovieClipSub * contIcemanArrow3;</v>
      </c>
      <c r="O261" s="14" t="str">
        <f t="shared" ca="1" si="28"/>
        <v>contIcemanArrow3= cont-&gt;createMovieClipSub("icemanArrow3");</v>
      </c>
    </row>
    <row r="262" spans="1:15" x14ac:dyDescent="0.25">
      <c r="A262" s="1"/>
      <c r="B262" s="4" t="s">
        <v>520</v>
      </c>
      <c r="C262" s="1">
        <f t="shared" ca="1" si="29"/>
        <v>2</v>
      </c>
      <c r="D262" s="1" t="s">
        <v>316</v>
      </c>
      <c r="E262" s="1"/>
      <c r="F262" s="1"/>
      <c r="G262" s="1" t="s">
        <v>616</v>
      </c>
      <c r="H262" s="1" t="str">
        <f t="shared" ca="1" si="30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1"/>
        <v>createMovieClipSub</v>
      </c>
      <c r="K262" s="1" t="str">
        <f t="shared" si="27"/>
        <v>icemanArrow4</v>
      </c>
      <c r="L262" s="1"/>
      <c r="M262" s="1"/>
      <c r="N262" s="14" t="str">
        <f t="shared" ca="1" si="32"/>
        <v>MovieClipSub * contIcemanArrow4;</v>
      </c>
      <c r="O262" s="14" t="str">
        <f t="shared" ca="1" si="28"/>
        <v>contIcemanArrow4= cont-&gt;createMovieClipSub("icemanArrow4");</v>
      </c>
    </row>
    <row r="263" spans="1:15" x14ac:dyDescent="0.25">
      <c r="A263" s="1"/>
      <c r="B263" s="4" t="s">
        <v>521</v>
      </c>
      <c r="C263" s="1">
        <f t="shared" ca="1" si="29"/>
        <v>2</v>
      </c>
      <c r="D263" s="1" t="s">
        <v>316</v>
      </c>
      <c r="E263" s="1"/>
      <c r="F263" s="1"/>
      <c r="G263" s="1" t="s">
        <v>616</v>
      </c>
      <c r="H263" s="1" t="str">
        <f t="shared" ca="1" si="30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1"/>
        <v>createMovieClipSub</v>
      </c>
      <c r="K263" s="1" t="str">
        <f t="shared" si="27"/>
        <v>airArrow1</v>
      </c>
      <c r="L263" s="1"/>
      <c r="M263" s="1"/>
      <c r="N263" s="14" t="str">
        <f t="shared" ca="1" si="32"/>
        <v>MovieClipSub * contAirArrow1;</v>
      </c>
      <c r="O263" s="14" t="str">
        <f t="shared" ca="1" si="28"/>
        <v>contAirArrow1= cont-&gt;createMovieClipSub("airArrow1");</v>
      </c>
    </row>
    <row r="264" spans="1:15" x14ac:dyDescent="0.25">
      <c r="A264" s="1"/>
      <c r="B264" s="4" t="s">
        <v>522</v>
      </c>
      <c r="C264" s="1">
        <f t="shared" ca="1" si="29"/>
        <v>2</v>
      </c>
      <c r="D264" s="1" t="s">
        <v>316</v>
      </c>
      <c r="E264" s="1"/>
      <c r="F264" s="1"/>
      <c r="G264" s="1" t="s">
        <v>616</v>
      </c>
      <c r="H264" s="1" t="str">
        <f t="shared" ca="1" si="30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1"/>
        <v>createMovieClipSub</v>
      </c>
      <c r="K264" s="1" t="str">
        <f t="shared" si="27"/>
        <v>airArrow2</v>
      </c>
      <c r="L264" s="1"/>
      <c r="M264" s="1"/>
      <c r="N264" s="14" t="str">
        <f t="shared" ca="1" si="32"/>
        <v>MovieClipSub * contAirArrow2;</v>
      </c>
      <c r="O264" s="14" t="str">
        <f t="shared" ca="1" si="28"/>
        <v>contAirArrow2= cont-&gt;createMovieClipSub("airArrow2");</v>
      </c>
    </row>
    <row r="265" spans="1:15" x14ac:dyDescent="0.25">
      <c r="A265" s="1"/>
      <c r="B265" s="4" t="s">
        <v>523</v>
      </c>
      <c r="C265" s="1">
        <f t="shared" ca="1" si="29"/>
        <v>2</v>
      </c>
      <c r="D265" s="1" t="s">
        <v>316</v>
      </c>
      <c r="E265" s="1"/>
      <c r="F265" s="1"/>
      <c r="G265" s="1" t="s">
        <v>616</v>
      </c>
      <c r="H265" s="1" t="str">
        <f t="shared" ca="1" si="30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1"/>
        <v>createMovieClipSub</v>
      </c>
      <c r="K265" s="1" t="str">
        <f t="shared" si="27"/>
        <v>airArrow3</v>
      </c>
      <c r="L265" s="1"/>
      <c r="M265" s="1"/>
      <c r="N265" s="14" t="str">
        <f t="shared" ca="1" si="32"/>
        <v>MovieClipSub * contAirArrow3;</v>
      </c>
      <c r="O265" s="14" t="str">
        <f t="shared" ca="1" si="28"/>
        <v>contAirArrow3= cont-&gt;createMovieClipSub("airArrow3");</v>
      </c>
    </row>
    <row r="266" spans="1:15" x14ac:dyDescent="0.25">
      <c r="A266" s="1"/>
      <c r="B266" s="4" t="s">
        <v>524</v>
      </c>
      <c r="C266" s="1">
        <f t="shared" ca="1" si="29"/>
        <v>2</v>
      </c>
      <c r="D266" s="1" t="s">
        <v>316</v>
      </c>
      <c r="E266" s="1"/>
      <c r="F266" s="1"/>
      <c r="G266" s="1" t="s">
        <v>616</v>
      </c>
      <c r="H266" s="1" t="str">
        <f t="shared" ca="1" si="30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1"/>
        <v>createMovieClipSub</v>
      </c>
      <c r="K266" s="1" t="str">
        <f t="shared" si="27"/>
        <v>airArrow4</v>
      </c>
      <c r="L266" s="1"/>
      <c r="M266" s="1"/>
      <c r="N266" s="14" t="str">
        <f t="shared" ca="1" si="32"/>
        <v>MovieClipSub * contAirArrow4;</v>
      </c>
      <c r="O266" s="14" t="str">
        <f t="shared" ca="1" si="28"/>
        <v>contAirArrow4= cont-&gt;createMovieClipSub("airArrow4");</v>
      </c>
    </row>
    <row r="267" spans="1:15" x14ac:dyDescent="0.25">
      <c r="A267" s="1"/>
      <c r="B267" s="4" t="s">
        <v>525</v>
      </c>
      <c r="C267" s="1">
        <f t="shared" ca="1" si="29"/>
        <v>2</v>
      </c>
      <c r="D267" s="1" t="s">
        <v>316</v>
      </c>
      <c r="E267" s="1"/>
      <c r="F267" s="1"/>
      <c r="G267" s="1" t="s">
        <v>616</v>
      </c>
      <c r="H267" s="1" t="str">
        <f t="shared" ca="1" si="30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1"/>
        <v>createMovieClipSub</v>
      </c>
      <c r="K267" s="1" t="str">
        <f t="shared" si="27"/>
        <v>fireArrow1</v>
      </c>
      <c r="L267" s="1"/>
      <c r="M267" s="1"/>
      <c r="N267" s="14" t="str">
        <f t="shared" ca="1" si="32"/>
        <v>MovieClipSub * contFireArrow1;</v>
      </c>
      <c r="O267" s="14" t="str">
        <f t="shared" ca="1" si="28"/>
        <v>contFireArrow1= cont-&gt;createMovieClipSub("fireArrow1");</v>
      </c>
    </row>
    <row r="268" spans="1:15" x14ac:dyDescent="0.25">
      <c r="A268" s="1"/>
      <c r="B268" s="4" t="s">
        <v>526</v>
      </c>
      <c r="C268" s="1">
        <f t="shared" ca="1" si="29"/>
        <v>2</v>
      </c>
      <c r="D268" s="1" t="s">
        <v>316</v>
      </c>
      <c r="E268" s="1"/>
      <c r="F268" s="1"/>
      <c r="G268" s="1" t="s">
        <v>616</v>
      </c>
      <c r="H268" s="1" t="str">
        <f t="shared" ca="1" si="30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1"/>
        <v>createMovieClipSub</v>
      </c>
      <c r="K268" s="1" t="str">
        <f t="shared" si="27"/>
        <v>fireArrow2</v>
      </c>
      <c r="L268" s="1"/>
      <c r="M268" s="1"/>
      <c r="N268" s="14" t="str">
        <f t="shared" ca="1" si="32"/>
        <v>MovieClipSub * contFireArrow2;</v>
      </c>
      <c r="O268" s="14" t="str">
        <f t="shared" ca="1" si="28"/>
        <v>contFireArrow2= cont-&gt;createMovieClipSub("fireArrow2");</v>
      </c>
    </row>
    <row r="269" spans="1:15" x14ac:dyDescent="0.25">
      <c r="A269" s="1"/>
      <c r="B269" s="4" t="s">
        <v>527</v>
      </c>
      <c r="C269" s="1">
        <f t="shared" ca="1" si="29"/>
        <v>2</v>
      </c>
      <c r="D269" s="1" t="s">
        <v>316</v>
      </c>
      <c r="E269" s="1"/>
      <c r="F269" s="1"/>
      <c r="G269" s="1" t="s">
        <v>616</v>
      </c>
      <c r="H269" s="1" t="str">
        <f t="shared" ca="1" si="30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1"/>
        <v>createMovieClipSub</v>
      </c>
      <c r="K269" s="1" t="str">
        <f t="shared" si="27"/>
        <v>fireArrow3</v>
      </c>
      <c r="L269" s="1"/>
      <c r="M269" s="1"/>
      <c r="N269" s="14" t="str">
        <f t="shared" ca="1" si="32"/>
        <v>MovieClipSub * contFireArrow3;</v>
      </c>
      <c r="O269" s="14" t="str">
        <f t="shared" ca="1" si="28"/>
        <v>contFireArrow3= cont-&gt;createMovieClipSub("fireArrow3");</v>
      </c>
    </row>
    <row r="270" spans="1:15" x14ac:dyDescent="0.25">
      <c r="A270" s="1"/>
      <c r="B270" s="4" t="s">
        <v>528</v>
      </c>
      <c r="C270" s="1">
        <f t="shared" ca="1" si="29"/>
        <v>2</v>
      </c>
      <c r="D270" s="1" t="s">
        <v>316</v>
      </c>
      <c r="E270" s="1"/>
      <c r="F270" s="1"/>
      <c r="G270" s="1" t="s">
        <v>616</v>
      </c>
      <c r="H270" s="1" t="str">
        <f t="shared" ca="1" si="30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1"/>
        <v>createMovieClipSub</v>
      </c>
      <c r="K270" s="1" t="str">
        <f t="shared" si="27"/>
        <v>fireArrow4</v>
      </c>
      <c r="L270" s="1"/>
      <c r="M270" s="1"/>
      <c r="N270" s="14" t="str">
        <f t="shared" ca="1" si="32"/>
        <v>MovieClipSub * contFireArrow4;</v>
      </c>
      <c r="O270" s="14" t="str">
        <f t="shared" ca="1" si="28"/>
        <v>contFireArrow4= cont-&gt;createMovieClipSub("fireArrow4");</v>
      </c>
    </row>
    <row r="271" spans="1:15" x14ac:dyDescent="0.25">
      <c r="A271" s="1"/>
      <c r="B271" s="4" t="s">
        <v>529</v>
      </c>
      <c r="C271" s="1">
        <f t="shared" ca="1" si="29"/>
        <v>2</v>
      </c>
      <c r="D271" s="1" t="s">
        <v>316</v>
      </c>
      <c r="E271" s="1"/>
      <c r="F271" s="1"/>
      <c r="G271" s="1" t="s">
        <v>616</v>
      </c>
      <c r="H271" s="1" t="str">
        <f t="shared" ca="1" si="30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1"/>
        <v>createMovieClipSub</v>
      </c>
      <c r="K271" s="1" t="str">
        <f t="shared" si="27"/>
        <v>iceArrow1</v>
      </c>
      <c r="L271" s="1"/>
      <c r="M271" s="1"/>
      <c r="N271" s="14" t="str">
        <f t="shared" ca="1" si="32"/>
        <v>MovieClipSub * contIceArrow1;</v>
      </c>
      <c r="O271" s="14" t="str">
        <f t="shared" ca="1" si="28"/>
        <v>contIceArrow1= cont-&gt;createMovieClipSub("iceArrow1");</v>
      </c>
    </row>
    <row r="272" spans="1:15" x14ac:dyDescent="0.25">
      <c r="A272" s="1"/>
      <c r="B272" s="4" t="s">
        <v>530</v>
      </c>
      <c r="C272" s="1">
        <f t="shared" ca="1" si="29"/>
        <v>2</v>
      </c>
      <c r="D272" s="1" t="s">
        <v>316</v>
      </c>
      <c r="E272" s="1"/>
      <c r="F272" s="1"/>
      <c r="G272" s="1" t="s">
        <v>616</v>
      </c>
      <c r="H272" s="1" t="str">
        <f t="shared" ca="1" si="30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1"/>
        <v>createMovieClipSub</v>
      </c>
      <c r="K272" s="1" t="str">
        <f t="shared" si="27"/>
        <v>iceArrow2</v>
      </c>
      <c r="L272" s="1"/>
      <c r="M272" s="1"/>
      <c r="N272" s="14" t="str">
        <f t="shared" ca="1" si="32"/>
        <v>MovieClipSub * contIceArrow2;</v>
      </c>
      <c r="O272" s="14" t="str">
        <f t="shared" ca="1" si="28"/>
        <v>contIceArrow2= cont-&gt;createMovieClipSub("iceArrow2");</v>
      </c>
    </row>
    <row r="273" spans="1:15" x14ac:dyDescent="0.25">
      <c r="A273" s="1"/>
      <c r="B273" s="4" t="s">
        <v>531</v>
      </c>
      <c r="C273" s="1">
        <f t="shared" ca="1" si="29"/>
        <v>2</v>
      </c>
      <c r="D273" s="1" t="s">
        <v>316</v>
      </c>
      <c r="E273" s="1"/>
      <c r="F273" s="1"/>
      <c r="G273" s="1" t="s">
        <v>616</v>
      </c>
      <c r="H273" s="1" t="str">
        <f t="shared" ca="1" si="30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1"/>
        <v>createMovieClipSub</v>
      </c>
      <c r="K273" s="1" t="str">
        <f t="shared" si="27"/>
        <v>iceArrow3</v>
      </c>
      <c r="L273" s="1"/>
      <c r="M273" s="1"/>
      <c r="N273" s="14" t="str">
        <f t="shared" ca="1" si="32"/>
        <v>MovieClipSub * contIceArrow3;</v>
      </c>
      <c r="O273" s="14" t="str">
        <f t="shared" ca="1" si="28"/>
        <v>contIceArrow3= cont-&gt;createMovieClipSub("iceArrow3");</v>
      </c>
    </row>
    <row r="274" spans="1:15" x14ac:dyDescent="0.25">
      <c r="A274" s="1"/>
      <c r="B274" s="4" t="s">
        <v>532</v>
      </c>
      <c r="C274" s="1">
        <f t="shared" ca="1" si="29"/>
        <v>2</v>
      </c>
      <c r="D274" s="1" t="s">
        <v>316</v>
      </c>
      <c r="E274" s="1"/>
      <c r="F274" s="1"/>
      <c r="G274" s="1" t="s">
        <v>616</v>
      </c>
      <c r="H274" s="1" t="str">
        <f t="shared" ca="1" si="30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1"/>
        <v>createMovieClipSub</v>
      </c>
      <c r="K274" s="1" t="str">
        <f t="shared" si="27"/>
        <v>iceArrow4</v>
      </c>
      <c r="L274" s="1"/>
      <c r="M274" s="1"/>
      <c r="N274" s="14" t="str">
        <f t="shared" ca="1" si="32"/>
        <v>MovieClipSub * contIceArrow4;</v>
      </c>
      <c r="O274" s="14" t="str">
        <f t="shared" ca="1" si="28"/>
        <v>contIceArrow4= cont-&gt;createMovieClipSub("iceArrow4");</v>
      </c>
    </row>
    <row r="275" spans="1:15" x14ac:dyDescent="0.25">
      <c r="A275" s="1"/>
      <c r="B275" s="4" t="s">
        <v>533</v>
      </c>
      <c r="C275" s="1">
        <f t="shared" ca="1" si="29"/>
        <v>2</v>
      </c>
      <c r="D275" s="1" t="s">
        <v>316</v>
      </c>
      <c r="E275" s="1"/>
      <c r="F275" s="1"/>
      <c r="G275" s="1" t="s">
        <v>616</v>
      </c>
      <c r="H275" s="1" t="str">
        <f t="shared" ca="1" si="30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1"/>
        <v>createMovieClipSub</v>
      </c>
      <c r="K275" s="1" t="str">
        <f t="shared" si="27"/>
        <v>stoneArrow1</v>
      </c>
      <c r="L275" s="1"/>
      <c r="M275" s="1"/>
      <c r="N275" s="14" t="str">
        <f t="shared" ca="1" si="32"/>
        <v>MovieClipSub * contStoneArrow1;</v>
      </c>
      <c r="O275" s="14" t="str">
        <f t="shared" ca="1" si="28"/>
        <v>contStoneArrow1= cont-&gt;createMovieClipSub("stoneArrow1");</v>
      </c>
    </row>
    <row r="276" spans="1:15" x14ac:dyDescent="0.25">
      <c r="A276" s="1"/>
      <c r="B276" s="4" t="s">
        <v>534</v>
      </c>
      <c r="C276" s="1">
        <f t="shared" ca="1" si="29"/>
        <v>2</v>
      </c>
      <c r="D276" s="1" t="s">
        <v>316</v>
      </c>
      <c r="E276" s="1"/>
      <c r="F276" s="1"/>
      <c r="G276" s="1" t="s">
        <v>616</v>
      </c>
      <c r="H276" s="1" t="str">
        <f t="shared" ca="1" si="30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1"/>
        <v>createMovieClipSub</v>
      </c>
      <c r="K276" s="1" t="str">
        <f t="shared" si="27"/>
        <v>stoneArrow2</v>
      </c>
      <c r="L276" s="1"/>
      <c r="M276" s="1"/>
      <c r="N276" s="14" t="str">
        <f t="shared" ca="1" si="32"/>
        <v>MovieClipSub * contStoneArrow2;</v>
      </c>
      <c r="O276" s="14" t="str">
        <f t="shared" ca="1" si="28"/>
        <v>contStoneArrow2= cont-&gt;createMovieClipSub("stoneArrow2");</v>
      </c>
    </row>
    <row r="277" spans="1:15" x14ac:dyDescent="0.25">
      <c r="A277" s="1"/>
      <c r="B277" s="4" t="s">
        <v>535</v>
      </c>
      <c r="C277" s="1">
        <f t="shared" ca="1" si="29"/>
        <v>2</v>
      </c>
      <c r="D277" s="1" t="s">
        <v>316</v>
      </c>
      <c r="E277" s="1"/>
      <c r="F277" s="1"/>
      <c r="G277" s="1" t="s">
        <v>616</v>
      </c>
      <c r="H277" s="1" t="str">
        <f t="shared" ca="1" si="30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1"/>
        <v>createMovieClipSub</v>
      </c>
      <c r="K277" s="1" t="str">
        <f t="shared" si="27"/>
        <v>stoneArrow3</v>
      </c>
      <c r="L277" s="1"/>
      <c r="M277" s="1"/>
      <c r="N277" s="14" t="str">
        <f t="shared" ca="1" si="32"/>
        <v>MovieClipSub * contStoneArrow3;</v>
      </c>
      <c r="O277" s="14" t="str">
        <f t="shared" ca="1" si="28"/>
        <v>contStoneArrow3= cont-&gt;createMovieClipSub("stoneArrow3");</v>
      </c>
    </row>
    <row r="278" spans="1:15" x14ac:dyDescent="0.25">
      <c r="A278" s="1"/>
      <c r="B278" s="4" t="s">
        <v>536</v>
      </c>
      <c r="C278" s="1">
        <f t="shared" ca="1" si="29"/>
        <v>2</v>
      </c>
      <c r="D278" s="1" t="s">
        <v>316</v>
      </c>
      <c r="E278" s="1"/>
      <c r="F278" s="1"/>
      <c r="G278" s="1" t="s">
        <v>616</v>
      </c>
      <c r="H278" s="1" t="str">
        <f t="shared" ca="1" si="30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1"/>
        <v>createMovieClipSub</v>
      </c>
      <c r="K278" s="1" t="str">
        <f t="shared" si="27"/>
        <v>stoneArrow4</v>
      </c>
      <c r="L278" s="1"/>
      <c r="M278" s="1"/>
      <c r="N278" s="14" t="str">
        <f t="shared" ca="1" si="32"/>
        <v>MovieClipSub * contStoneArrow4;</v>
      </c>
      <c r="O278" s="14" t="str">
        <f t="shared" ca="1" si="28"/>
        <v>contStoneArrow4= cont-&gt;createMovieClipSub("stoneArrow4");</v>
      </c>
    </row>
    <row r="279" spans="1:15" x14ac:dyDescent="0.25">
      <c r="A279" s="1"/>
      <c r="B279" s="4" t="s">
        <v>537</v>
      </c>
      <c r="C279" s="1">
        <f t="shared" ca="1" si="29"/>
        <v>2</v>
      </c>
      <c r="D279" s="1" t="s">
        <v>316</v>
      </c>
      <c r="E279" s="1"/>
      <c r="F279" s="1"/>
      <c r="G279" s="1" t="s">
        <v>616</v>
      </c>
      <c r="H279" s="1" t="str">
        <f t="shared" ca="1" si="30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1"/>
        <v>createMovieClipSub</v>
      </c>
      <c r="K279" s="1" t="str">
        <f t="shared" si="27"/>
        <v>levinArrow1</v>
      </c>
      <c r="L279" s="1"/>
      <c r="M279" s="1"/>
      <c r="N279" s="14" t="str">
        <f t="shared" ca="1" si="32"/>
        <v>MovieClipSub * contLevinArrow1;</v>
      </c>
      <c r="O279" s="14" t="str">
        <f t="shared" ca="1" si="28"/>
        <v>contLevinArrow1= cont-&gt;createMovieClipSub("levinArrow1");</v>
      </c>
    </row>
    <row r="280" spans="1:15" x14ac:dyDescent="0.25">
      <c r="A280" s="1"/>
      <c r="B280" s="4" t="s">
        <v>538</v>
      </c>
      <c r="C280" s="1">
        <f t="shared" ca="1" si="29"/>
        <v>2</v>
      </c>
      <c r="D280" s="1" t="s">
        <v>316</v>
      </c>
      <c r="E280" s="1"/>
      <c r="F280" s="1"/>
      <c r="G280" s="1" t="s">
        <v>616</v>
      </c>
      <c r="H280" s="1" t="str">
        <f t="shared" ca="1" si="30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1"/>
        <v>createMovieClipSub</v>
      </c>
      <c r="K280" s="1" t="str">
        <f t="shared" si="27"/>
        <v>levinArrow2</v>
      </c>
      <c r="L280" s="1"/>
      <c r="M280" s="1"/>
      <c r="N280" s="14" t="str">
        <f t="shared" ca="1" si="32"/>
        <v>MovieClipSub * contLevinArrow2;</v>
      </c>
      <c r="O280" s="14" t="str">
        <f t="shared" ca="1" si="28"/>
        <v>contLevinArrow2= cont-&gt;createMovieClipSub("levinArrow2");</v>
      </c>
    </row>
    <row r="281" spans="1:15" x14ac:dyDescent="0.25">
      <c r="A281" s="1"/>
      <c r="B281" s="4" t="s">
        <v>539</v>
      </c>
      <c r="C281" s="1">
        <f t="shared" ca="1" si="29"/>
        <v>2</v>
      </c>
      <c r="D281" s="1" t="s">
        <v>316</v>
      </c>
      <c r="E281" s="1"/>
      <c r="F281" s="1"/>
      <c r="G281" s="1" t="s">
        <v>616</v>
      </c>
      <c r="H281" s="1" t="str">
        <f t="shared" ca="1" si="30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1"/>
        <v>createMovieClipSub</v>
      </c>
      <c r="K281" s="1" t="str">
        <f t="shared" si="27"/>
        <v>levinArrow3</v>
      </c>
      <c r="L281" s="1"/>
      <c r="M281" s="1"/>
      <c r="N281" s="14" t="str">
        <f t="shared" ca="1" si="32"/>
        <v>MovieClipSub * contLevinArrow3;</v>
      </c>
      <c r="O281" s="14" t="str">
        <f t="shared" ca="1" si="28"/>
        <v>contLevinArrow3= cont-&gt;createMovieClipSub("levinArrow3");</v>
      </c>
    </row>
    <row r="282" spans="1:15" x14ac:dyDescent="0.25">
      <c r="A282" s="1"/>
      <c r="B282" s="4" t="s">
        <v>540</v>
      </c>
      <c r="C282" s="1">
        <f t="shared" ca="1" si="29"/>
        <v>2</v>
      </c>
      <c r="D282" s="1" t="s">
        <v>316</v>
      </c>
      <c r="E282" s="1"/>
      <c r="F282" s="1"/>
      <c r="G282" s="1" t="s">
        <v>616</v>
      </c>
      <c r="H282" s="1" t="str">
        <f t="shared" ca="1" si="30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1"/>
        <v>createMovieClipSub</v>
      </c>
      <c r="K282" s="1" t="str">
        <f t="shared" si="27"/>
        <v>levinArrow4</v>
      </c>
      <c r="L282" s="1"/>
      <c r="M282" s="1"/>
      <c r="N282" s="14" t="str">
        <f t="shared" ca="1" si="32"/>
        <v>MovieClipSub * contLevinArrow4;</v>
      </c>
      <c r="O282" s="14" t="str">
        <f t="shared" ca="1" si="28"/>
        <v>contLevinArrow4= cont-&gt;createMovieClipSub("levinArrow4");</v>
      </c>
    </row>
    <row r="283" spans="1:15" x14ac:dyDescent="0.25">
      <c r="A283" s="1"/>
      <c r="B283" s="4" t="s">
        <v>544</v>
      </c>
      <c r="C283" s="1">
        <f t="shared" ca="1" si="29"/>
        <v>2</v>
      </c>
      <c r="D283" s="1" t="s">
        <v>316</v>
      </c>
      <c r="E283" s="1"/>
      <c r="F283" s="1"/>
      <c r="G283" s="1" t="s">
        <v>616</v>
      </c>
      <c r="H283" s="1" t="str">
        <f t="shared" ca="1" si="30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1"/>
        <v>createMovieClipSub</v>
      </c>
      <c r="K283" s="1" t="str">
        <f t="shared" si="27"/>
        <v>golemUpgrade1</v>
      </c>
      <c r="L283" s="1"/>
      <c r="M283" s="1"/>
      <c r="N283" s="14" t="str">
        <f t="shared" ca="1" si="32"/>
        <v>MovieClipSub * contGolemUpgrade1;</v>
      </c>
      <c r="O283" s="14" t="str">
        <f t="shared" ca="1" si="28"/>
        <v>contGolemUpgrade1= cont-&gt;createMovieClipSub("golemUpgrade1");</v>
      </c>
    </row>
    <row r="284" spans="1:15" x14ac:dyDescent="0.25">
      <c r="A284" s="1"/>
      <c r="B284" s="5" t="s">
        <v>547</v>
      </c>
      <c r="C284" s="1">
        <f t="shared" ca="1" si="29"/>
        <v>3</v>
      </c>
      <c r="D284" s="1" t="s">
        <v>316</v>
      </c>
      <c r="E284" s="1"/>
      <c r="F284" s="1"/>
      <c r="G284" s="1" t="s">
        <v>669</v>
      </c>
      <c r="H284" s="1" t="str">
        <f t="shared" ca="1" si="30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1"/>
        <v>createCase</v>
      </c>
      <c r="K284" s="1" t="str">
        <f t="shared" si="27"/>
        <v>upgradeCase</v>
      </c>
      <c r="L284" s="1"/>
      <c r="M284" s="1"/>
      <c r="N284" s="14" t="str">
        <f t="shared" ca="1" si="32"/>
        <v>MCCase * contGolemUpgrade1UpgradeCase;</v>
      </c>
      <c r="O284" s="14" t="str">
        <f t="shared" ca="1" si="28"/>
        <v>contGolemUpgrade1UpgradeCase= contGolemUpgrade1-&gt;createCase("upgradeCase");</v>
      </c>
    </row>
    <row r="285" spans="1:15" x14ac:dyDescent="0.25">
      <c r="A285" s="1"/>
      <c r="B285" s="5" t="s">
        <v>545</v>
      </c>
      <c r="C285" s="1">
        <f t="shared" ca="1" si="29"/>
        <v>3</v>
      </c>
      <c r="D285" s="1" t="s">
        <v>316</v>
      </c>
      <c r="E285" s="1"/>
      <c r="F285" s="1"/>
      <c r="G285" s="1" t="s">
        <v>671</v>
      </c>
      <c r="H285" s="1" t="str">
        <f t="shared" ca="1" si="30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1"/>
        <v>createText</v>
      </c>
      <c r="K285" s="1" t="str">
        <f t="shared" si="27"/>
        <v>starsTXT</v>
      </c>
      <c r="L285" s="1"/>
      <c r="M285" s="1"/>
      <c r="N285" s="14" t="str">
        <f t="shared" ca="1" si="32"/>
        <v>MCText * contGolemUpgrade1StarsTXT;</v>
      </c>
      <c r="O285" s="14" t="str">
        <f t="shared" ca="1" si="28"/>
        <v>contGolemUpgrade1StarsTXT= contGolemUpgrade1-&gt;createText("starsTXT");</v>
      </c>
    </row>
    <row r="286" spans="1:15" x14ac:dyDescent="0.25">
      <c r="A286" s="1"/>
      <c r="B286" s="4" t="s">
        <v>546</v>
      </c>
      <c r="C286" s="1">
        <f t="shared" ca="1" si="29"/>
        <v>2</v>
      </c>
      <c r="D286" s="1" t="s">
        <v>316</v>
      </c>
      <c r="E286" s="1"/>
      <c r="F286" s="1"/>
      <c r="G286" s="1" t="s">
        <v>616</v>
      </c>
      <c r="H286" s="1" t="str">
        <f t="shared" ca="1" si="30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1"/>
        <v>createMovieClipSub</v>
      </c>
      <c r="K286" s="1" t="str">
        <f t="shared" si="27"/>
        <v>golemUpgrade2</v>
      </c>
      <c r="L286" s="1"/>
      <c r="M286" s="1"/>
      <c r="N286" s="14" t="str">
        <f t="shared" ca="1" si="32"/>
        <v>MovieClipSub * contGolemUpgrade2;</v>
      </c>
      <c r="O286" s="14" t="str">
        <f t="shared" ca="1" si="28"/>
        <v>contGolemUpgrade2= cont-&gt;createMovieClipSub("golemUpgrade2");</v>
      </c>
    </row>
    <row r="287" spans="1:15" x14ac:dyDescent="0.25">
      <c r="A287" s="1"/>
      <c r="B287" s="5" t="s">
        <v>547</v>
      </c>
      <c r="C287" s="1">
        <f t="shared" ca="1" si="29"/>
        <v>3</v>
      </c>
      <c r="D287" s="1" t="s">
        <v>316</v>
      </c>
      <c r="E287" s="1"/>
      <c r="F287" s="1"/>
      <c r="G287" s="1" t="s">
        <v>669</v>
      </c>
      <c r="H287" s="1" t="str">
        <f t="shared" ca="1" si="30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1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4" t="str">
        <f t="shared" ca="1" si="32"/>
        <v>MCCase * contGolemUpgrade2UpgradeCase;</v>
      </c>
      <c r="O287" s="14" t="str">
        <f t="shared" ca="1" si="28"/>
        <v>contGolemUpgrade2UpgradeCase= contGolemUpgrade2-&gt;createCase("upgradeCase");</v>
      </c>
    </row>
    <row r="288" spans="1:15" x14ac:dyDescent="0.25">
      <c r="A288" s="1"/>
      <c r="B288" s="5" t="s">
        <v>545</v>
      </c>
      <c r="C288" s="1">
        <f t="shared" ca="1" si="29"/>
        <v>3</v>
      </c>
      <c r="D288" s="1" t="s">
        <v>316</v>
      </c>
      <c r="E288" s="1"/>
      <c r="F288" s="1"/>
      <c r="G288" s="1" t="s">
        <v>671</v>
      </c>
      <c r="H288" s="1" t="str">
        <f t="shared" ca="1" si="30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1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4" t="str">
        <f t="shared" ca="1" si="32"/>
        <v>MCText * contGolemUpgrade2StarsTXT;</v>
      </c>
      <c r="O288" s="14" t="str">
        <f t="shared" ca="1" si="28"/>
        <v>contGolemUpgrade2StarsTXT= contGolemUpgrade2-&gt;createText("starsTXT");</v>
      </c>
    </row>
    <row r="289" spans="1:15" x14ac:dyDescent="0.25">
      <c r="A289" s="1"/>
      <c r="B289" s="4" t="s">
        <v>550</v>
      </c>
      <c r="C289" s="1">
        <f t="shared" ca="1" si="29"/>
        <v>2</v>
      </c>
      <c r="D289" s="1" t="s">
        <v>316</v>
      </c>
      <c r="E289" s="1"/>
      <c r="F289" s="1"/>
      <c r="G289" s="1" t="s">
        <v>616</v>
      </c>
      <c r="H289" s="1" t="str">
        <f t="shared" ca="1" si="30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1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4" t="str">
        <f t="shared" ca="1" si="32"/>
        <v>MovieClipSub * contGolemUpgrade3;</v>
      </c>
      <c r="O289" s="14" t="str">
        <f t="shared" ca="1" si="28"/>
        <v>contGolemUpgrade3= cont-&gt;createMovieClipSub("golemUpgrade3");</v>
      </c>
    </row>
    <row r="290" spans="1:15" x14ac:dyDescent="0.25">
      <c r="A290" s="1"/>
      <c r="B290" s="5" t="s">
        <v>547</v>
      </c>
      <c r="C290" s="1">
        <f t="shared" ca="1" si="29"/>
        <v>3</v>
      </c>
      <c r="D290" s="1" t="s">
        <v>316</v>
      </c>
      <c r="E290" s="1"/>
      <c r="F290" s="1"/>
      <c r="G290" s="1" t="s">
        <v>669</v>
      </c>
      <c r="H290" s="1" t="str">
        <f t="shared" ca="1" si="30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1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4" t="str">
        <f t="shared" ca="1" si="32"/>
        <v>MCCase * contGolemUpgrade3UpgradeCase;</v>
      </c>
      <c r="O290" s="14" t="str">
        <f t="shared" ca="1" si="28"/>
        <v>contGolemUpgrade3UpgradeCase= contGolemUpgrade3-&gt;createCase("upgradeCase");</v>
      </c>
    </row>
    <row r="291" spans="1:15" x14ac:dyDescent="0.25">
      <c r="A291" s="1"/>
      <c r="B291" s="5" t="s">
        <v>545</v>
      </c>
      <c r="C291" s="1">
        <f t="shared" ca="1" si="29"/>
        <v>3</v>
      </c>
      <c r="D291" s="1" t="s">
        <v>316</v>
      </c>
      <c r="E291" s="1"/>
      <c r="F291" s="1"/>
      <c r="G291" s="1" t="s">
        <v>671</v>
      </c>
      <c r="H291" s="1" t="str">
        <f t="shared" ca="1" si="30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1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4" t="str">
        <f t="shared" ca="1" si="32"/>
        <v>MCText * contGolemUpgrade3StarsTXT;</v>
      </c>
      <c r="O291" s="14" t="str">
        <f t="shared" ca="1" si="28"/>
        <v>contGolemUpgrade3StarsTXT= contGolemUpgrade3-&gt;createText("starsTXT");</v>
      </c>
    </row>
    <row r="292" spans="1:15" x14ac:dyDescent="0.25">
      <c r="A292" s="1"/>
      <c r="B292" s="4" t="s">
        <v>549</v>
      </c>
      <c r="C292" s="1">
        <f t="shared" ca="1" si="29"/>
        <v>2</v>
      </c>
      <c r="D292" s="1" t="s">
        <v>316</v>
      </c>
      <c r="E292" s="1"/>
      <c r="F292" s="1"/>
      <c r="G292" s="1" t="s">
        <v>616</v>
      </c>
      <c r="H292" s="1" t="str">
        <f t="shared" ca="1" si="30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1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4" t="str">
        <f t="shared" ca="1" si="32"/>
        <v>MovieClipSub * contGolemUpgrade4;</v>
      </c>
      <c r="O292" s="14" t="str">
        <f t="shared" ca="1" si="28"/>
        <v>contGolemUpgrade4= cont-&gt;createMovieClipSub("golemUpgrade4");</v>
      </c>
    </row>
    <row r="293" spans="1:15" x14ac:dyDescent="0.25">
      <c r="A293" s="1"/>
      <c r="B293" s="5" t="s">
        <v>547</v>
      </c>
      <c r="C293" s="1">
        <f t="shared" ca="1" si="29"/>
        <v>3</v>
      </c>
      <c r="D293" s="1" t="s">
        <v>316</v>
      </c>
      <c r="E293" s="1"/>
      <c r="F293" s="1"/>
      <c r="G293" s="1" t="s">
        <v>669</v>
      </c>
      <c r="H293" s="1" t="str">
        <f t="shared" ca="1" si="30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1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4" t="str">
        <f t="shared" ca="1" si="32"/>
        <v>MCCase * contGolemUpgrade4UpgradeCase;</v>
      </c>
      <c r="O293" s="14" t="str">
        <f t="shared" ca="1" si="28"/>
        <v>contGolemUpgrade4UpgradeCase= contGolemUpgrade4-&gt;createCase("upgradeCase");</v>
      </c>
    </row>
    <row r="294" spans="1:15" x14ac:dyDescent="0.25">
      <c r="A294" s="1"/>
      <c r="B294" s="5" t="s">
        <v>545</v>
      </c>
      <c r="C294" s="1">
        <f t="shared" ca="1" si="29"/>
        <v>3</v>
      </c>
      <c r="D294" s="1" t="s">
        <v>316</v>
      </c>
      <c r="E294" s="1"/>
      <c r="F294" s="1"/>
      <c r="G294" s="1" t="s">
        <v>671</v>
      </c>
      <c r="H294" s="1" t="str">
        <f t="shared" ca="1" si="30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1"/>
        <v>createText</v>
      </c>
      <c r="K294" s="1" t="str">
        <f t="shared" si="27"/>
        <v>starsTXT</v>
      </c>
      <c r="L294" s="1"/>
      <c r="M294" s="1"/>
      <c r="N294" s="14" t="str">
        <f t="shared" ca="1" si="32"/>
        <v>MCText * contGolemUpgrade4StarsTXT;</v>
      </c>
      <c r="O294" s="14" t="str">
        <f t="shared" ca="1" si="28"/>
        <v>contGolemUpgrade4StarsTXT= contGolemUpgrade4-&gt;createText("starsTXT");</v>
      </c>
    </row>
    <row r="295" spans="1:15" x14ac:dyDescent="0.25">
      <c r="A295" s="1"/>
      <c r="B295" s="4" t="s">
        <v>548</v>
      </c>
      <c r="C295" s="1">
        <f t="shared" ca="1" si="29"/>
        <v>2</v>
      </c>
      <c r="D295" s="1" t="s">
        <v>316</v>
      </c>
      <c r="E295" s="1"/>
      <c r="F295" s="1"/>
      <c r="G295" s="1" t="s">
        <v>616</v>
      </c>
      <c r="H295" s="1" t="str">
        <f t="shared" ca="1" si="30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1"/>
        <v>createMovieClipSub</v>
      </c>
      <c r="K295" s="1" t="str">
        <f t="shared" si="27"/>
        <v>golemUpgrade5</v>
      </c>
      <c r="L295" s="1"/>
      <c r="M295" s="1"/>
      <c r="N295" s="14" t="str">
        <f t="shared" ca="1" si="32"/>
        <v>MovieClipSub * contGolemUpgrade5;</v>
      </c>
      <c r="O295" s="14" t="str">
        <f t="shared" ca="1" si="28"/>
        <v>contGolemUpgrade5= cont-&gt;createMovieClipSub("golemUpgrade5");</v>
      </c>
    </row>
    <row r="296" spans="1:15" x14ac:dyDescent="0.25">
      <c r="A296" s="1"/>
      <c r="B296" s="5" t="s">
        <v>547</v>
      </c>
      <c r="C296" s="1">
        <f t="shared" ca="1" si="29"/>
        <v>3</v>
      </c>
      <c r="D296" s="1" t="s">
        <v>316</v>
      </c>
      <c r="E296" s="1"/>
      <c r="F296" s="1"/>
      <c r="G296" s="1" t="s">
        <v>669</v>
      </c>
      <c r="H296" s="1" t="str">
        <f t="shared" ca="1" si="30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1"/>
        <v>createCase</v>
      </c>
      <c r="K296" s="1" t="str">
        <f t="shared" si="27"/>
        <v>upgradeCase</v>
      </c>
      <c r="L296" s="1"/>
      <c r="M296" s="1"/>
      <c r="N296" s="14" t="str">
        <f t="shared" ca="1" si="32"/>
        <v>MCCase * contGolemUpgrade5UpgradeCase;</v>
      </c>
      <c r="O296" s="14" t="str">
        <f t="shared" ca="1" si="28"/>
        <v>contGolemUpgrade5UpgradeCase= contGolemUpgrade5-&gt;createCase("upgradeCase");</v>
      </c>
    </row>
    <row r="297" spans="1:15" x14ac:dyDescent="0.25">
      <c r="A297" s="1"/>
      <c r="B297" s="5" t="s">
        <v>545</v>
      </c>
      <c r="C297" s="1">
        <f t="shared" ca="1" si="29"/>
        <v>3</v>
      </c>
      <c r="D297" s="1" t="s">
        <v>316</v>
      </c>
      <c r="E297" s="1"/>
      <c r="F297" s="1"/>
      <c r="G297" s="1" t="s">
        <v>671</v>
      </c>
      <c r="H297" s="1" t="str">
        <f t="shared" ca="1" si="30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1"/>
        <v>createText</v>
      </c>
      <c r="K297" s="1" t="str">
        <f t="shared" si="27"/>
        <v>starsTXT</v>
      </c>
      <c r="L297" s="1"/>
      <c r="M297" s="1"/>
      <c r="N297" s="14" t="str">
        <f t="shared" ca="1" si="32"/>
        <v>MCText * contGolemUpgrade5StarsTXT;</v>
      </c>
      <c r="O297" s="14" t="str">
        <f t="shared" ca="1" si="28"/>
        <v>contGolemUpgrade5StarsTXT= contGolemUpgrade5-&gt;createText("starsTXT");</v>
      </c>
    </row>
    <row r="298" spans="1:15" x14ac:dyDescent="0.25">
      <c r="A298" s="1"/>
      <c r="B298" s="4" t="s">
        <v>552</v>
      </c>
      <c r="C298" s="1">
        <f t="shared" ca="1" si="29"/>
        <v>2</v>
      </c>
      <c r="D298" s="1" t="s">
        <v>316</v>
      </c>
      <c r="E298" s="1"/>
      <c r="F298" s="1"/>
      <c r="G298" s="1" t="s">
        <v>616</v>
      </c>
      <c r="H298" s="1" t="str">
        <f t="shared" ca="1" si="30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1"/>
        <v>createMovieClipSub</v>
      </c>
      <c r="K298" s="1" t="str">
        <f t="shared" si="27"/>
        <v>icemanUpgrade1</v>
      </c>
      <c r="L298" s="1"/>
      <c r="M298" s="1"/>
      <c r="N298" s="14" t="str">
        <f t="shared" ca="1" si="32"/>
        <v>MovieClipSub * contIcemanUpgrade1;</v>
      </c>
      <c r="O298" s="14" t="str">
        <f t="shared" ca="1" si="28"/>
        <v>contIcemanUpgrade1= cont-&gt;createMovieClipSub("icemanUpgrade1");</v>
      </c>
    </row>
    <row r="299" spans="1:15" x14ac:dyDescent="0.25">
      <c r="A299" s="1"/>
      <c r="B299" s="5" t="s">
        <v>547</v>
      </c>
      <c r="C299" s="1">
        <f t="shared" ca="1" si="29"/>
        <v>3</v>
      </c>
      <c r="D299" s="1" t="s">
        <v>316</v>
      </c>
      <c r="E299" s="1"/>
      <c r="F299" s="1"/>
      <c r="G299" s="1" t="s">
        <v>669</v>
      </c>
      <c r="H299" s="1" t="str">
        <f t="shared" ca="1" si="30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1"/>
        <v>createCase</v>
      </c>
      <c r="K299" s="1" t="str">
        <f t="shared" si="27"/>
        <v>upgradeCase</v>
      </c>
      <c r="L299" s="1"/>
      <c r="M299" s="1"/>
      <c r="N299" s="14" t="str">
        <f t="shared" ca="1" si="32"/>
        <v>MCCase * contIcemanUpgrade1UpgradeCase;</v>
      </c>
      <c r="O299" s="14" t="str">
        <f t="shared" ca="1" si="28"/>
        <v>contIcemanUpgrade1UpgradeCase= contIcemanUpgrade1-&gt;createCase("upgradeCase");</v>
      </c>
    </row>
    <row r="300" spans="1:15" x14ac:dyDescent="0.25">
      <c r="A300" s="1"/>
      <c r="B300" s="5" t="s">
        <v>545</v>
      </c>
      <c r="C300" s="1">
        <f t="shared" ca="1" si="29"/>
        <v>3</v>
      </c>
      <c r="D300" s="1" t="s">
        <v>316</v>
      </c>
      <c r="E300" s="1"/>
      <c r="F300" s="1"/>
      <c r="G300" s="1" t="s">
        <v>671</v>
      </c>
      <c r="H300" s="1" t="str">
        <f t="shared" ca="1" si="30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1"/>
        <v>createText</v>
      </c>
      <c r="K300" s="1" t="str">
        <f t="shared" si="27"/>
        <v>starsTXT</v>
      </c>
      <c r="L300" s="1"/>
      <c r="M300" s="1"/>
      <c r="N300" s="14" t="str">
        <f t="shared" ca="1" si="32"/>
        <v>MCText * contIcemanUpgrade1StarsTXT;</v>
      </c>
      <c r="O300" s="14" t="str">
        <f t="shared" ca="1" si="28"/>
        <v>contIcemanUpgrade1StarsTXT= contIcemanUpgrade1-&gt;createText("starsTXT");</v>
      </c>
    </row>
    <row r="301" spans="1:15" x14ac:dyDescent="0.25">
      <c r="A301" s="1"/>
      <c r="B301" s="4" t="s">
        <v>551</v>
      </c>
      <c r="C301" s="1">
        <f t="shared" ca="1" si="29"/>
        <v>2</v>
      </c>
      <c r="D301" s="1" t="s">
        <v>316</v>
      </c>
      <c r="E301" s="1"/>
      <c r="F301" s="1"/>
      <c r="G301" s="1" t="s">
        <v>616</v>
      </c>
      <c r="H301" s="1" t="str">
        <f t="shared" ca="1" si="30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1"/>
        <v>createMovieClipSub</v>
      </c>
      <c r="K301" s="1" t="str">
        <f t="shared" si="27"/>
        <v>icemanUpgrade2</v>
      </c>
      <c r="L301" s="1"/>
      <c r="M301" s="1"/>
      <c r="N301" s="14" t="str">
        <f t="shared" ca="1" si="32"/>
        <v>MovieClipSub * contIcemanUpgrade2;</v>
      </c>
      <c r="O301" s="14" t="str">
        <f t="shared" ca="1" si="28"/>
        <v>contIcemanUpgrade2= cont-&gt;createMovieClipSub("icemanUpgrade2");</v>
      </c>
    </row>
    <row r="302" spans="1:15" x14ac:dyDescent="0.25">
      <c r="A302" s="1"/>
      <c r="B302" s="5" t="s">
        <v>547</v>
      </c>
      <c r="C302" s="1">
        <f t="shared" ca="1" si="29"/>
        <v>3</v>
      </c>
      <c r="D302" s="1" t="s">
        <v>316</v>
      </c>
      <c r="E302" s="1"/>
      <c r="F302" s="1"/>
      <c r="G302" s="1" t="s">
        <v>669</v>
      </c>
      <c r="H302" s="1" t="str">
        <f t="shared" ca="1" si="30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1"/>
        <v>createCase</v>
      </c>
      <c r="K302" s="1" t="str">
        <f t="shared" si="27"/>
        <v>upgradeCase</v>
      </c>
      <c r="L302" s="1"/>
      <c r="M302" s="1"/>
      <c r="N302" s="14" t="str">
        <f t="shared" ca="1" si="32"/>
        <v>MCCase * contIcemanUpgrade2UpgradeCase;</v>
      </c>
      <c r="O302" s="14" t="str">
        <f t="shared" ca="1" si="28"/>
        <v>contIcemanUpgrade2UpgradeCase= contIcemanUpgrade2-&gt;createCase("upgradeCase");</v>
      </c>
    </row>
    <row r="303" spans="1:15" x14ac:dyDescent="0.25">
      <c r="A303" s="1"/>
      <c r="B303" s="5" t="s">
        <v>545</v>
      </c>
      <c r="C303" s="1">
        <f t="shared" ca="1" si="29"/>
        <v>3</v>
      </c>
      <c r="D303" s="1" t="s">
        <v>316</v>
      </c>
      <c r="E303" s="1"/>
      <c r="F303" s="1"/>
      <c r="G303" s="1" t="s">
        <v>671</v>
      </c>
      <c r="H303" s="1" t="str">
        <f t="shared" ca="1" si="30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1"/>
        <v>createText</v>
      </c>
      <c r="K303" s="1" t="str">
        <f t="shared" si="27"/>
        <v>starsTXT</v>
      </c>
      <c r="L303" s="1"/>
      <c r="M303" s="1"/>
      <c r="N303" s="14" t="str">
        <f t="shared" ca="1" si="32"/>
        <v>MCText * contIcemanUpgrade2StarsTXT;</v>
      </c>
      <c r="O303" s="14" t="str">
        <f t="shared" ca="1" si="28"/>
        <v>contIcemanUpgrade2StarsTXT= contIcemanUpgrade2-&gt;createText("starsTXT");</v>
      </c>
    </row>
    <row r="304" spans="1:15" x14ac:dyDescent="0.25">
      <c r="A304" s="1"/>
      <c r="B304" s="4" t="s">
        <v>553</v>
      </c>
      <c r="C304" s="1">
        <f t="shared" ca="1" si="29"/>
        <v>2</v>
      </c>
      <c r="D304" s="1" t="s">
        <v>316</v>
      </c>
      <c r="E304" s="1"/>
      <c r="F304" s="1"/>
      <c r="G304" s="1" t="s">
        <v>616</v>
      </c>
      <c r="H304" s="1" t="str">
        <f t="shared" ca="1" si="30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1"/>
        <v>createMovieClipSub</v>
      </c>
      <c r="K304" s="1" t="str">
        <f t="shared" si="27"/>
        <v>icemanUpgrade3</v>
      </c>
      <c r="L304" s="1"/>
      <c r="M304" s="1"/>
      <c r="N304" s="14" t="str">
        <f t="shared" ca="1" si="32"/>
        <v>MovieClipSub * contIcemanUpgrade3;</v>
      </c>
      <c r="O304" s="14" t="str">
        <f t="shared" ca="1" si="28"/>
        <v>contIcemanUpgrade3= cont-&gt;createMovieClipSub("icemanUpgrade3");</v>
      </c>
    </row>
    <row r="305" spans="1:15" x14ac:dyDescent="0.25">
      <c r="A305" s="1"/>
      <c r="B305" s="5" t="s">
        <v>547</v>
      </c>
      <c r="C305" s="1">
        <f t="shared" ca="1" si="29"/>
        <v>3</v>
      </c>
      <c r="D305" s="1" t="s">
        <v>316</v>
      </c>
      <c r="E305" s="1"/>
      <c r="F305" s="1"/>
      <c r="G305" s="1" t="s">
        <v>669</v>
      </c>
      <c r="H305" s="1" t="str">
        <f t="shared" ca="1" si="30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1"/>
        <v>createCase</v>
      </c>
      <c r="K305" s="1" t="str">
        <f t="shared" si="27"/>
        <v>upgradeCase</v>
      </c>
      <c r="L305" s="1"/>
      <c r="M305" s="1"/>
      <c r="N305" s="14" t="str">
        <f t="shared" ca="1" si="32"/>
        <v>MCCase * contIcemanUpgrade3UpgradeCase;</v>
      </c>
      <c r="O305" s="14" t="str">
        <f t="shared" ca="1" si="28"/>
        <v>contIcemanUpgrade3UpgradeCase= contIcemanUpgrade3-&gt;createCase("upgradeCase");</v>
      </c>
    </row>
    <row r="306" spans="1:15" x14ac:dyDescent="0.25">
      <c r="A306" s="1"/>
      <c r="B306" s="5" t="s">
        <v>545</v>
      </c>
      <c r="C306" s="1">
        <f t="shared" ca="1" si="29"/>
        <v>3</v>
      </c>
      <c r="D306" s="1" t="s">
        <v>316</v>
      </c>
      <c r="E306" s="1"/>
      <c r="F306" s="1"/>
      <c r="G306" s="1" t="s">
        <v>671</v>
      </c>
      <c r="H306" s="1" t="str">
        <f t="shared" ca="1" si="30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1"/>
        <v>createText</v>
      </c>
      <c r="K306" s="1" t="str">
        <f t="shared" si="27"/>
        <v>starsTXT</v>
      </c>
      <c r="L306" s="1"/>
      <c r="M306" s="1"/>
      <c r="N306" s="14" t="str">
        <f t="shared" ca="1" si="32"/>
        <v>MCText * contIcemanUpgrade3StarsTXT;</v>
      </c>
      <c r="O306" s="14" t="str">
        <f t="shared" ca="1" si="28"/>
        <v>contIcemanUpgrade3StarsTXT= contIcemanUpgrade3-&gt;createText("starsTXT");</v>
      </c>
    </row>
    <row r="307" spans="1:15" x14ac:dyDescent="0.25">
      <c r="A307" s="1"/>
      <c r="B307" s="4" t="s">
        <v>554</v>
      </c>
      <c r="C307" s="1">
        <f t="shared" ca="1" si="29"/>
        <v>2</v>
      </c>
      <c r="D307" s="1" t="s">
        <v>316</v>
      </c>
      <c r="E307" s="1"/>
      <c r="F307" s="1"/>
      <c r="G307" s="1" t="s">
        <v>616</v>
      </c>
      <c r="H307" s="1" t="str">
        <f t="shared" ca="1" si="30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1"/>
        <v>createMovieClipSub</v>
      </c>
      <c r="K307" s="1" t="str">
        <f t="shared" si="27"/>
        <v>icemanUpgrade4</v>
      </c>
      <c r="L307" s="1"/>
      <c r="M307" s="1"/>
      <c r="N307" s="14" t="str">
        <f t="shared" ca="1" si="32"/>
        <v>MovieClipSub * contIcemanUpgrade4;</v>
      </c>
      <c r="O307" s="14" t="str">
        <f t="shared" ca="1" si="28"/>
        <v>contIcemanUpgrade4= cont-&gt;createMovieClipSub("icemanUpgrade4");</v>
      </c>
    </row>
    <row r="308" spans="1:15" x14ac:dyDescent="0.25">
      <c r="A308" s="1"/>
      <c r="B308" s="5" t="s">
        <v>547</v>
      </c>
      <c r="C308" s="1">
        <f t="shared" ca="1" si="29"/>
        <v>3</v>
      </c>
      <c r="D308" s="1" t="s">
        <v>316</v>
      </c>
      <c r="E308" s="1"/>
      <c r="F308" s="1"/>
      <c r="G308" s="1" t="s">
        <v>669</v>
      </c>
      <c r="H308" s="1" t="str">
        <f t="shared" ca="1" si="30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1"/>
        <v>createCase</v>
      </c>
      <c r="K308" s="1" t="str">
        <f t="shared" si="27"/>
        <v>upgradeCase</v>
      </c>
      <c r="L308" s="1"/>
      <c r="M308" s="1"/>
      <c r="N308" s="14" t="str">
        <f t="shared" ca="1" si="32"/>
        <v>MCCase * contIcemanUpgrade4UpgradeCase;</v>
      </c>
      <c r="O308" s="14" t="str">
        <f t="shared" ca="1" si="28"/>
        <v>contIcemanUpgrade4UpgradeCase= contIcemanUpgrade4-&gt;createCase("upgradeCase");</v>
      </c>
    </row>
    <row r="309" spans="1:15" x14ac:dyDescent="0.25">
      <c r="A309" s="1"/>
      <c r="B309" s="5" t="s">
        <v>545</v>
      </c>
      <c r="C309" s="1">
        <f t="shared" ca="1" si="29"/>
        <v>3</v>
      </c>
      <c r="D309" s="1" t="s">
        <v>316</v>
      </c>
      <c r="E309" s="1"/>
      <c r="F309" s="1"/>
      <c r="G309" s="1" t="s">
        <v>671</v>
      </c>
      <c r="H309" s="1" t="str">
        <f t="shared" ca="1" si="30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1"/>
        <v>createText</v>
      </c>
      <c r="K309" s="1" t="str">
        <f t="shared" si="27"/>
        <v>starsTXT</v>
      </c>
      <c r="L309" s="1"/>
      <c r="M309" s="1"/>
      <c r="N309" s="14" t="str">
        <f t="shared" ca="1" si="32"/>
        <v>MCText * contIcemanUpgrade4StarsTXT;</v>
      </c>
      <c r="O309" s="14" t="str">
        <f t="shared" ca="1" si="28"/>
        <v>contIcemanUpgrade4StarsTXT= contIcemanUpgrade4-&gt;createText("starsTXT");</v>
      </c>
    </row>
    <row r="310" spans="1:15" x14ac:dyDescent="0.25">
      <c r="A310" s="1"/>
      <c r="B310" s="4" t="s">
        <v>555</v>
      </c>
      <c r="C310" s="1">
        <f t="shared" ca="1" si="29"/>
        <v>2</v>
      </c>
      <c r="D310" s="1" t="s">
        <v>316</v>
      </c>
      <c r="E310" s="1"/>
      <c r="F310" s="1"/>
      <c r="G310" s="1" t="s">
        <v>616</v>
      </c>
      <c r="H310" s="1" t="str">
        <f t="shared" ca="1" si="30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1"/>
        <v>createMovieClipSub</v>
      </c>
      <c r="K310" s="1" t="str">
        <f t="shared" si="27"/>
        <v>icemanUpgrade5</v>
      </c>
      <c r="L310" s="1"/>
      <c r="M310" s="1"/>
      <c r="N310" s="14" t="str">
        <f t="shared" ca="1" si="32"/>
        <v>MovieClipSub * contIcemanUpgrade5;</v>
      </c>
      <c r="O310" s="14" t="str">
        <f t="shared" ca="1" si="28"/>
        <v>contIcemanUpgrade5= cont-&gt;createMovieClipSub("icemanUpgrade5");</v>
      </c>
    </row>
    <row r="311" spans="1:15" x14ac:dyDescent="0.25">
      <c r="A311" s="1"/>
      <c r="B311" s="5" t="s">
        <v>547</v>
      </c>
      <c r="C311" s="1">
        <f t="shared" ca="1" si="29"/>
        <v>3</v>
      </c>
      <c r="D311" s="1" t="s">
        <v>316</v>
      </c>
      <c r="E311" s="1"/>
      <c r="F311" s="1"/>
      <c r="G311" s="1" t="s">
        <v>669</v>
      </c>
      <c r="H311" s="1" t="str">
        <f t="shared" ca="1" si="30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1"/>
        <v>createCase</v>
      </c>
      <c r="K311" s="1" t="str">
        <f t="shared" si="27"/>
        <v>upgradeCase</v>
      </c>
      <c r="L311" s="1"/>
      <c r="M311" s="1"/>
      <c r="N311" s="14" t="str">
        <f t="shared" ca="1" si="32"/>
        <v>MCCase * contIcemanUpgrade5UpgradeCase;</v>
      </c>
      <c r="O311" s="14" t="str">
        <f t="shared" ca="1" si="28"/>
        <v>contIcemanUpgrade5UpgradeCase= contIcemanUpgrade5-&gt;createCase("upgradeCase");</v>
      </c>
    </row>
    <row r="312" spans="1:15" x14ac:dyDescent="0.25">
      <c r="A312" s="1"/>
      <c r="B312" s="5" t="s">
        <v>545</v>
      </c>
      <c r="C312" s="1">
        <f t="shared" ca="1" si="29"/>
        <v>3</v>
      </c>
      <c r="D312" s="1" t="s">
        <v>316</v>
      </c>
      <c r="E312" s="1"/>
      <c r="F312" s="1"/>
      <c r="G312" s="1" t="s">
        <v>671</v>
      </c>
      <c r="H312" s="1" t="str">
        <f t="shared" ca="1" si="30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1"/>
        <v>createText</v>
      </c>
      <c r="K312" s="1" t="str">
        <f t="shared" si="27"/>
        <v>starsTXT</v>
      </c>
      <c r="L312" s="1"/>
      <c r="M312" s="1"/>
      <c r="N312" s="14" t="str">
        <f t="shared" ca="1" si="32"/>
        <v>MCText * contIcemanUpgrade5StarsTXT;</v>
      </c>
      <c r="O312" s="14" t="str">
        <f t="shared" ca="1" si="28"/>
        <v>contIcemanUpgrade5StarsTXT= contIcemanUpgrade5-&gt;createText("starsTXT");</v>
      </c>
    </row>
    <row r="313" spans="1:15" x14ac:dyDescent="0.25">
      <c r="A313" s="1"/>
      <c r="B313" s="4" t="s">
        <v>556</v>
      </c>
      <c r="C313" s="1">
        <f t="shared" ca="1" si="29"/>
        <v>2</v>
      </c>
      <c r="D313" s="1" t="s">
        <v>316</v>
      </c>
      <c r="E313" s="1"/>
      <c r="F313" s="1"/>
      <c r="G313" s="1" t="s">
        <v>616</v>
      </c>
      <c r="H313" s="1" t="str">
        <f t="shared" ca="1" si="30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1"/>
        <v>createMovieClipSub</v>
      </c>
      <c r="K313" s="1" t="str">
        <f t="shared" si="27"/>
        <v>airUpgrade1</v>
      </c>
      <c r="L313" s="1"/>
      <c r="M313" s="1"/>
      <c r="N313" s="14" t="str">
        <f t="shared" ca="1" si="32"/>
        <v>MovieClipSub * contAirUpgrade1;</v>
      </c>
      <c r="O313" s="14" t="str">
        <f t="shared" ca="1" si="28"/>
        <v>contAirUpgrade1= cont-&gt;createMovieClipSub("airUpgrade1");</v>
      </c>
    </row>
    <row r="314" spans="1:15" x14ac:dyDescent="0.25">
      <c r="A314" s="1"/>
      <c r="B314" s="5" t="s">
        <v>547</v>
      </c>
      <c r="C314" s="1">
        <f t="shared" ca="1" si="29"/>
        <v>3</v>
      </c>
      <c r="D314" s="1" t="s">
        <v>316</v>
      </c>
      <c r="E314" s="1"/>
      <c r="F314" s="1"/>
      <c r="G314" s="1" t="s">
        <v>669</v>
      </c>
      <c r="H314" s="1" t="str">
        <f t="shared" ca="1" si="30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1"/>
        <v>createCase</v>
      </c>
      <c r="K314" s="1" t="str">
        <f t="shared" si="27"/>
        <v>upgradeCase</v>
      </c>
      <c r="L314" s="1"/>
      <c r="M314" s="1"/>
      <c r="N314" s="14" t="str">
        <f t="shared" ca="1" si="32"/>
        <v>MCCase * contAirUpgrade1UpgradeCase;</v>
      </c>
      <c r="O314" s="14" t="str">
        <f t="shared" ca="1" si="28"/>
        <v>contAirUpgrade1UpgradeCase= contAirUpgrade1-&gt;createCase("upgradeCase");</v>
      </c>
    </row>
    <row r="315" spans="1:15" x14ac:dyDescent="0.25">
      <c r="A315" s="1"/>
      <c r="B315" s="5" t="s">
        <v>545</v>
      </c>
      <c r="C315" s="1">
        <f t="shared" ca="1" si="29"/>
        <v>3</v>
      </c>
      <c r="D315" s="1" t="s">
        <v>316</v>
      </c>
      <c r="E315" s="1"/>
      <c r="F315" s="1"/>
      <c r="G315" s="1" t="s">
        <v>671</v>
      </c>
      <c r="H315" s="1" t="str">
        <f t="shared" ca="1" si="30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1"/>
        <v>createText</v>
      </c>
      <c r="K315" s="1" t="str">
        <f t="shared" si="27"/>
        <v>starsTXT</v>
      </c>
      <c r="L315" s="1"/>
      <c r="M315" s="1"/>
      <c r="N315" s="14" t="str">
        <f t="shared" ca="1" si="32"/>
        <v>MCText * contAirUpgrade1StarsTXT;</v>
      </c>
      <c r="O315" s="14" t="str">
        <f t="shared" ca="1" si="28"/>
        <v>contAirUpgrade1StarsTXT= contAirUpgrade1-&gt;createText("starsTXT");</v>
      </c>
    </row>
    <row r="316" spans="1:15" x14ac:dyDescent="0.25">
      <c r="A316" s="1"/>
      <c r="B316" s="4" t="s">
        <v>557</v>
      </c>
      <c r="C316" s="1">
        <f t="shared" ca="1" si="29"/>
        <v>2</v>
      </c>
      <c r="D316" s="1" t="s">
        <v>316</v>
      </c>
      <c r="E316" s="1"/>
      <c r="F316" s="1"/>
      <c r="G316" s="1" t="s">
        <v>616</v>
      </c>
      <c r="H316" s="1" t="str">
        <f t="shared" ca="1" si="30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1"/>
        <v>createMovieClipSub</v>
      </c>
      <c r="K316" s="1" t="str">
        <f t="shared" si="27"/>
        <v>airUpgrade2</v>
      </c>
      <c r="L316" s="1"/>
      <c r="M316" s="1"/>
      <c r="N316" s="14" t="str">
        <f t="shared" ca="1" si="32"/>
        <v>MovieClipSub * contAirUpgrade2;</v>
      </c>
      <c r="O316" s="14" t="str">
        <f t="shared" ca="1" si="28"/>
        <v>contAirUpgrade2= cont-&gt;createMovieClipSub("airUpgrade2");</v>
      </c>
    </row>
    <row r="317" spans="1:15" x14ac:dyDescent="0.25">
      <c r="A317" s="1"/>
      <c r="B317" s="5" t="s">
        <v>547</v>
      </c>
      <c r="C317" s="1">
        <f t="shared" ca="1" si="29"/>
        <v>3</v>
      </c>
      <c r="D317" s="1" t="s">
        <v>316</v>
      </c>
      <c r="E317" s="1"/>
      <c r="F317" s="1"/>
      <c r="G317" s="1" t="s">
        <v>669</v>
      </c>
      <c r="H317" s="1" t="str">
        <f t="shared" ca="1" si="30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1"/>
        <v>createCase</v>
      </c>
      <c r="K317" s="1" t="str">
        <f t="shared" si="27"/>
        <v>upgradeCase</v>
      </c>
      <c r="L317" s="1"/>
      <c r="M317" s="1"/>
      <c r="N317" s="14" t="str">
        <f t="shared" ca="1" si="32"/>
        <v>MCCase * contAirUpgrade2UpgradeCase;</v>
      </c>
      <c r="O317" s="14" t="str">
        <f t="shared" ca="1" si="28"/>
        <v>contAirUpgrade2UpgradeCase= contAirUpgrade2-&gt;createCase("upgradeCase");</v>
      </c>
    </row>
    <row r="318" spans="1:15" x14ac:dyDescent="0.25">
      <c r="A318" s="1"/>
      <c r="B318" s="5" t="s">
        <v>545</v>
      </c>
      <c r="C318" s="1">
        <f t="shared" ca="1" si="29"/>
        <v>3</v>
      </c>
      <c r="D318" s="1" t="s">
        <v>316</v>
      </c>
      <c r="E318" s="1"/>
      <c r="F318" s="1"/>
      <c r="G318" s="1" t="s">
        <v>671</v>
      </c>
      <c r="H318" s="1" t="str">
        <f t="shared" ca="1" si="30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1"/>
        <v>createText</v>
      </c>
      <c r="K318" s="1" t="str">
        <f t="shared" si="27"/>
        <v>starsTXT</v>
      </c>
      <c r="L318" s="1"/>
      <c r="M318" s="1"/>
      <c r="N318" s="14" t="str">
        <f t="shared" ca="1" si="32"/>
        <v>MCText * contAirUpgrade2StarsTXT;</v>
      </c>
      <c r="O318" s="14" t="str">
        <f t="shared" ca="1" si="28"/>
        <v>contAirUpgrade2StarsTXT= contAirUpgrade2-&gt;createText("starsTXT");</v>
      </c>
    </row>
    <row r="319" spans="1:15" x14ac:dyDescent="0.25">
      <c r="A319" s="1"/>
      <c r="B319" s="4" t="s">
        <v>558</v>
      </c>
      <c r="C319" s="1">
        <f t="shared" ca="1" si="29"/>
        <v>2</v>
      </c>
      <c r="D319" s="1" t="s">
        <v>316</v>
      </c>
      <c r="E319" s="1"/>
      <c r="F319" s="1"/>
      <c r="G319" s="1" t="s">
        <v>616</v>
      </c>
      <c r="H319" s="1" t="str">
        <f t="shared" ca="1" si="30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1"/>
        <v>createMovieClipSub</v>
      </c>
      <c r="K319" s="1" t="str">
        <f t="shared" si="27"/>
        <v>airUpgrade3</v>
      </c>
      <c r="L319" s="1"/>
      <c r="M319" s="1"/>
      <c r="N319" s="14" t="str">
        <f t="shared" ca="1" si="32"/>
        <v>MovieClipSub * contAirUpgrade3;</v>
      </c>
      <c r="O319" s="14" t="str">
        <f t="shared" ca="1" si="28"/>
        <v>contAirUpgrade3= cont-&gt;createMovieClipSub("airUpgrade3");</v>
      </c>
    </row>
    <row r="320" spans="1:15" x14ac:dyDescent="0.25">
      <c r="A320" s="1"/>
      <c r="B320" s="5" t="s">
        <v>547</v>
      </c>
      <c r="C320" s="1">
        <f t="shared" ca="1" si="29"/>
        <v>3</v>
      </c>
      <c r="D320" s="1" t="s">
        <v>316</v>
      </c>
      <c r="E320" s="1"/>
      <c r="F320" s="1"/>
      <c r="G320" s="1" t="s">
        <v>669</v>
      </c>
      <c r="H320" s="1" t="str">
        <f t="shared" ca="1" si="30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1"/>
        <v>createCase</v>
      </c>
      <c r="K320" s="1" t="str">
        <f t="shared" si="27"/>
        <v>upgradeCase</v>
      </c>
      <c r="L320" s="1"/>
      <c r="M320" s="1"/>
      <c r="N320" s="14" t="str">
        <f t="shared" ca="1" si="32"/>
        <v>MCCase * contAirUpgrade3UpgradeCase;</v>
      </c>
      <c r="O320" s="14" t="str">
        <f t="shared" ca="1" si="28"/>
        <v>contAirUpgrade3UpgradeCase= contAirUpgrade3-&gt;createCase("upgradeCase");</v>
      </c>
    </row>
    <row r="321" spans="1:15" x14ac:dyDescent="0.25">
      <c r="A321" s="1"/>
      <c r="B321" s="5" t="s">
        <v>545</v>
      </c>
      <c r="C321" s="1">
        <f t="shared" ca="1" si="29"/>
        <v>3</v>
      </c>
      <c r="D321" s="1" t="s">
        <v>316</v>
      </c>
      <c r="E321" s="1"/>
      <c r="F321" s="1"/>
      <c r="G321" s="1" t="s">
        <v>671</v>
      </c>
      <c r="H321" s="1" t="str">
        <f t="shared" ca="1" si="30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1"/>
        <v>createText</v>
      </c>
      <c r="K321" s="1" t="str">
        <f t="shared" si="27"/>
        <v>starsTXT</v>
      </c>
      <c r="L321" s="1"/>
      <c r="M321" s="1"/>
      <c r="N321" s="14" t="str">
        <f t="shared" ca="1" si="32"/>
        <v>MCText * contAirUpgrade3StarsTXT;</v>
      </c>
      <c r="O321" s="14" t="str">
        <f t="shared" ca="1" si="28"/>
        <v>contAirUpgrade3StarsTXT= contAirUpgrade3-&gt;createText("starsTXT");</v>
      </c>
    </row>
    <row r="322" spans="1:15" x14ac:dyDescent="0.25">
      <c r="A322" s="1"/>
      <c r="B322" s="4" t="s">
        <v>559</v>
      </c>
      <c r="C322" s="1">
        <f t="shared" ca="1" si="29"/>
        <v>2</v>
      </c>
      <c r="D322" s="1" t="s">
        <v>316</v>
      </c>
      <c r="E322" s="1"/>
      <c r="F322" s="1"/>
      <c r="G322" s="1" t="s">
        <v>616</v>
      </c>
      <c r="H322" s="1" t="str">
        <f t="shared" ca="1" si="30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1"/>
        <v>createMovieClipSub</v>
      </c>
      <c r="K322" s="1" t="str">
        <f t="shared" ref="K322:K385" si="33">B322</f>
        <v>airUpgrade4</v>
      </c>
      <c r="L322" s="1"/>
      <c r="M322" s="1"/>
      <c r="N322" s="14" t="str">
        <f t="shared" ca="1" si="32"/>
        <v>MovieClipSub * contAirUpgrade4;</v>
      </c>
      <c r="O322" s="14" t="str">
        <f t="shared" ref="O322:O385" ca="1" si="34">IF(C322&gt;0,IF(G322="MovieClip",IF(M322&lt;&gt;"y",H322&amp;"= "&amp;I322&amp;"-&gt;"&amp;J322&amp;"("""&amp;B322&amp;""","""&amp;D322&amp;"/"","""&amp;L322&amp;""","""&amp;K322&amp;""")"&amp;";",
H322&amp;"= "&amp;"("&amp;K322&amp;"*)"&amp;I322&amp;"-&gt;"&amp;J322&amp;"("""&amp;B322&amp;""",new "&amp;K322&amp;"())"&amp;";"
),H322&amp;"= "&amp;I322&amp;"-&gt;"&amp;J322&amp;"("""&amp;K322&amp;""")"&amp;";"),IF(RIGHT(B322,3)&lt;&gt;"_mc",G322&amp;"("""&amp;D322&amp;""","""&amp;B322&amp;""","""&amp;K322&amp;"""{)",B322&amp;"::"&amp;B322&amp;":"&amp;G322&amp;"("""&amp;D322&amp;"/"","""&amp;B322&amp;""","""&amp;K322&amp;"""{)"))</f>
        <v>contAirUpgrade4= cont-&gt;createMovieClipSub("airUpgrade4");</v>
      </c>
    </row>
    <row r="323" spans="1:15" x14ac:dyDescent="0.25">
      <c r="A323" s="1"/>
      <c r="B323" s="5" t="s">
        <v>547</v>
      </c>
      <c r="C323" s="1">
        <f t="shared" ref="C323:C386" ca="1" si="35">indent(B323)</f>
        <v>3</v>
      </c>
      <c r="D323" s="1" t="s">
        <v>316</v>
      </c>
      <c r="E323" s="1"/>
      <c r="F323" s="1"/>
      <c r="G323" s="1" t="s">
        <v>669</v>
      </c>
      <c r="H323" s="1" t="str">
        <f t="shared" ref="H323:H354" ca="1" si="36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7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4" t="str">
        <f t="shared" ca="1" si="32"/>
        <v>MCCase * contAirUpgrade4UpgradeCase;</v>
      </c>
      <c r="O323" s="14" t="str">
        <f t="shared" ca="1" si="34"/>
        <v>contAirUpgrade4UpgradeCase= contAirUpgrade4-&gt;createCase("upgradeCase");</v>
      </c>
    </row>
    <row r="324" spans="1:15" x14ac:dyDescent="0.25">
      <c r="A324" s="1"/>
      <c r="B324" s="5" t="s">
        <v>545</v>
      </c>
      <c r="C324" s="1">
        <f t="shared" ca="1" si="35"/>
        <v>3</v>
      </c>
      <c r="D324" s="1" t="s">
        <v>316</v>
      </c>
      <c r="E324" s="1"/>
      <c r="F324" s="1"/>
      <c r="G324" s="1" t="s">
        <v>671</v>
      </c>
      <c r="H324" s="1" t="str">
        <f t="shared" ca="1" si="36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7"/>
        <v>createText</v>
      </c>
      <c r="K324" s="1" t="str">
        <f t="shared" si="33"/>
        <v>starsTXT</v>
      </c>
      <c r="L324" s="1"/>
      <c r="M324" s="1"/>
      <c r="N324" s="14" t="str">
        <f t="shared" ref="N324:N387" ca="1" si="38">IF(C324&gt;0,G324 &amp; " * "&amp;H324 &amp;";","")</f>
        <v>MCText * contAirUpgrade4StarsTXT;</v>
      </c>
      <c r="O324" s="14" t="str">
        <f t="shared" ca="1" si="34"/>
        <v>contAirUpgrade4StarsTXT= contAirUpgrade4-&gt;createText("starsTXT");</v>
      </c>
    </row>
    <row r="325" spans="1:15" x14ac:dyDescent="0.25">
      <c r="A325" s="1"/>
      <c r="B325" s="4" t="s">
        <v>560</v>
      </c>
      <c r="C325" s="1">
        <f t="shared" ca="1" si="35"/>
        <v>2</v>
      </c>
      <c r="D325" s="1" t="s">
        <v>316</v>
      </c>
      <c r="E325" s="1"/>
      <c r="F325" s="1"/>
      <c r="G325" s="1" t="s">
        <v>616</v>
      </c>
      <c r="H325" s="1" t="str">
        <f t="shared" ca="1" si="36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7"/>
        <v>createMovieClipSub</v>
      </c>
      <c r="K325" s="1" t="str">
        <f t="shared" si="33"/>
        <v>airUpgrade5</v>
      </c>
      <c r="L325" s="1"/>
      <c r="M325" s="1"/>
      <c r="N325" s="14" t="str">
        <f t="shared" ca="1" si="38"/>
        <v>MovieClipSub * contAirUpgrade5;</v>
      </c>
      <c r="O325" s="14" t="str">
        <f t="shared" ca="1" si="34"/>
        <v>contAirUpgrade5= cont-&gt;createMovieClipSub("airUpgrade5");</v>
      </c>
    </row>
    <row r="326" spans="1:15" x14ac:dyDescent="0.25">
      <c r="A326" s="1"/>
      <c r="B326" s="5" t="s">
        <v>547</v>
      </c>
      <c r="C326" s="1">
        <f t="shared" ca="1" si="35"/>
        <v>3</v>
      </c>
      <c r="D326" s="1" t="s">
        <v>316</v>
      </c>
      <c r="E326" s="1"/>
      <c r="F326" s="1"/>
      <c r="G326" s="1" t="s">
        <v>669</v>
      </c>
      <c r="H326" s="1" t="str">
        <f t="shared" ca="1" si="36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7"/>
        <v>createCase</v>
      </c>
      <c r="K326" s="1" t="str">
        <f t="shared" si="33"/>
        <v>upgradeCase</v>
      </c>
      <c r="L326" s="1"/>
      <c r="M326" s="1"/>
      <c r="N326" s="14" t="str">
        <f t="shared" ca="1" si="38"/>
        <v>MCCase * contAirUpgrade5UpgradeCase;</v>
      </c>
      <c r="O326" s="14" t="str">
        <f t="shared" ca="1" si="34"/>
        <v>contAirUpgrade5UpgradeCase= contAirUpgrade5-&gt;createCase("upgradeCase");</v>
      </c>
    </row>
    <row r="327" spans="1:15" x14ac:dyDescent="0.25">
      <c r="A327" s="1"/>
      <c r="B327" s="5" t="s">
        <v>545</v>
      </c>
      <c r="C327" s="1">
        <f t="shared" ca="1" si="35"/>
        <v>3</v>
      </c>
      <c r="D327" s="1" t="s">
        <v>316</v>
      </c>
      <c r="E327" s="1"/>
      <c r="F327" s="1"/>
      <c r="G327" s="1" t="s">
        <v>671</v>
      </c>
      <c r="H327" s="1" t="str">
        <f t="shared" ca="1" si="36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7"/>
        <v>createText</v>
      </c>
      <c r="K327" s="1" t="str">
        <f t="shared" si="33"/>
        <v>starsTXT</v>
      </c>
      <c r="L327" s="1"/>
      <c r="M327" s="1"/>
      <c r="N327" s="14" t="str">
        <f t="shared" ca="1" si="38"/>
        <v>MCText * contAirUpgrade5StarsTXT;</v>
      </c>
      <c r="O327" s="14" t="str">
        <f t="shared" ca="1" si="34"/>
        <v>contAirUpgrade5StarsTXT= contAirUpgrade5-&gt;createText("starsTXT");</v>
      </c>
    </row>
    <row r="328" spans="1:15" x14ac:dyDescent="0.25">
      <c r="A328" s="1"/>
      <c r="B328" s="4" t="s">
        <v>561</v>
      </c>
      <c r="C328" s="1">
        <f t="shared" ca="1" si="35"/>
        <v>2</v>
      </c>
      <c r="D328" s="1" t="s">
        <v>316</v>
      </c>
      <c r="E328" s="1"/>
      <c r="F328" s="1"/>
      <c r="G328" s="1" t="s">
        <v>616</v>
      </c>
      <c r="H328" s="1" t="str">
        <f t="shared" ca="1" si="36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7"/>
        <v>createMovieClipSub</v>
      </c>
      <c r="K328" s="1" t="str">
        <f t="shared" si="33"/>
        <v>fireUpgrade1</v>
      </c>
      <c r="L328" s="1"/>
      <c r="M328" s="1"/>
      <c r="N328" s="14" t="str">
        <f t="shared" ca="1" si="38"/>
        <v>MovieClipSub * contFireUpgrade1;</v>
      </c>
      <c r="O328" s="14" t="str">
        <f t="shared" ca="1" si="34"/>
        <v>contFireUpgrade1= cont-&gt;createMovieClipSub("fireUpgrade1");</v>
      </c>
    </row>
    <row r="329" spans="1:15" x14ac:dyDescent="0.25">
      <c r="A329" s="1"/>
      <c r="B329" s="5" t="s">
        <v>547</v>
      </c>
      <c r="C329" s="1">
        <f t="shared" ca="1" si="35"/>
        <v>3</v>
      </c>
      <c r="D329" s="1" t="s">
        <v>316</v>
      </c>
      <c r="E329" s="1"/>
      <c r="F329" s="1"/>
      <c r="G329" s="1" t="s">
        <v>669</v>
      </c>
      <c r="H329" s="1" t="str">
        <f t="shared" ca="1" si="36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7"/>
        <v>createCase</v>
      </c>
      <c r="K329" s="1" t="str">
        <f t="shared" si="33"/>
        <v>upgradeCase</v>
      </c>
      <c r="L329" s="1"/>
      <c r="M329" s="1"/>
      <c r="N329" s="14" t="str">
        <f t="shared" ca="1" si="38"/>
        <v>MCCase * contFireUpgrade1UpgradeCase;</v>
      </c>
      <c r="O329" s="14" t="str">
        <f t="shared" ca="1" si="34"/>
        <v>contFireUpgrade1UpgradeCase= contFireUpgrade1-&gt;createCase("upgradeCase");</v>
      </c>
    </row>
    <row r="330" spans="1:15" x14ac:dyDescent="0.25">
      <c r="A330" s="1"/>
      <c r="B330" s="5" t="s">
        <v>545</v>
      </c>
      <c r="C330" s="1">
        <f t="shared" ca="1" si="35"/>
        <v>3</v>
      </c>
      <c r="D330" s="1" t="s">
        <v>316</v>
      </c>
      <c r="E330" s="1"/>
      <c r="F330" s="1"/>
      <c r="G330" s="1" t="s">
        <v>671</v>
      </c>
      <c r="H330" s="1" t="str">
        <f t="shared" ca="1" si="36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7"/>
        <v>createText</v>
      </c>
      <c r="K330" s="1" t="str">
        <f t="shared" si="33"/>
        <v>starsTXT</v>
      </c>
      <c r="L330" s="1"/>
      <c r="M330" s="1"/>
      <c r="N330" s="14" t="str">
        <f t="shared" ca="1" si="38"/>
        <v>MCText * contFireUpgrade1StarsTXT;</v>
      </c>
      <c r="O330" s="14" t="str">
        <f t="shared" ca="1" si="34"/>
        <v>contFireUpgrade1StarsTXT= contFireUpgrade1-&gt;createText("starsTXT");</v>
      </c>
    </row>
    <row r="331" spans="1:15" x14ac:dyDescent="0.25">
      <c r="A331" s="1"/>
      <c r="B331" s="4" t="s">
        <v>562</v>
      </c>
      <c r="C331" s="1">
        <f t="shared" ca="1" si="35"/>
        <v>2</v>
      </c>
      <c r="D331" s="1" t="s">
        <v>316</v>
      </c>
      <c r="E331" s="1"/>
      <c r="F331" s="1"/>
      <c r="G331" s="1" t="s">
        <v>616</v>
      </c>
      <c r="H331" s="1" t="str">
        <f t="shared" ca="1" si="36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7"/>
        <v>createMovieClipSub</v>
      </c>
      <c r="K331" s="1" t="str">
        <f t="shared" si="33"/>
        <v>fireUpgrade2</v>
      </c>
      <c r="L331" s="1"/>
      <c r="M331" s="1"/>
      <c r="N331" s="14" t="str">
        <f t="shared" ca="1" si="38"/>
        <v>MovieClipSub * contFireUpgrade2;</v>
      </c>
      <c r="O331" s="14" t="str">
        <f t="shared" ca="1" si="34"/>
        <v>contFireUpgrade2= cont-&gt;createMovieClipSub("fireUpgrade2");</v>
      </c>
    </row>
    <row r="332" spans="1:15" x14ac:dyDescent="0.25">
      <c r="A332" s="1"/>
      <c r="B332" s="5" t="s">
        <v>547</v>
      </c>
      <c r="C332" s="1">
        <f t="shared" ca="1" si="35"/>
        <v>3</v>
      </c>
      <c r="D332" s="1" t="s">
        <v>316</v>
      </c>
      <c r="E332" s="1"/>
      <c r="F332" s="1"/>
      <c r="G332" s="1" t="s">
        <v>669</v>
      </c>
      <c r="H332" s="1" t="str">
        <f t="shared" ca="1" si="36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7"/>
        <v>createCase</v>
      </c>
      <c r="K332" s="1" t="str">
        <f t="shared" si="33"/>
        <v>upgradeCase</v>
      </c>
      <c r="L332" s="1"/>
      <c r="M332" s="1"/>
      <c r="N332" s="14" t="str">
        <f t="shared" ca="1" si="38"/>
        <v>MCCase * contFireUpgrade2UpgradeCase;</v>
      </c>
      <c r="O332" s="14" t="str">
        <f t="shared" ca="1" si="34"/>
        <v>contFireUpgrade2UpgradeCase= contFireUpgrade2-&gt;createCase("upgradeCase");</v>
      </c>
    </row>
    <row r="333" spans="1:15" x14ac:dyDescent="0.25">
      <c r="A333" s="1"/>
      <c r="B333" s="5" t="s">
        <v>563</v>
      </c>
      <c r="C333" s="1">
        <f t="shared" ca="1" si="35"/>
        <v>3</v>
      </c>
      <c r="D333" s="1" t="s">
        <v>316</v>
      </c>
      <c r="E333" s="1"/>
      <c r="F333" s="1"/>
      <c r="G333" s="1" t="s">
        <v>671</v>
      </c>
      <c r="H333" s="1" t="str">
        <f t="shared" ca="1" si="36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7"/>
        <v>createText</v>
      </c>
      <c r="K333" s="1" t="str">
        <f t="shared" si="33"/>
        <v>starsTXT</v>
      </c>
      <c r="L333" s="1"/>
      <c r="M333" s="1"/>
      <c r="N333" s="14" t="str">
        <f t="shared" ca="1" si="38"/>
        <v>MCText * contFireUpgrade2StarsTXT;</v>
      </c>
      <c r="O333" s="14" t="str">
        <f t="shared" ca="1" si="34"/>
        <v>contFireUpgrade2StarsTXT= contFireUpgrade2-&gt;createText("starsTXT");</v>
      </c>
    </row>
    <row r="334" spans="1:15" x14ac:dyDescent="0.25">
      <c r="A334" s="1"/>
      <c r="B334" s="4" t="s">
        <v>564</v>
      </c>
      <c r="C334" s="1">
        <f t="shared" ca="1" si="35"/>
        <v>2</v>
      </c>
      <c r="D334" s="1" t="s">
        <v>316</v>
      </c>
      <c r="E334" s="1"/>
      <c r="F334" s="1"/>
      <c r="G334" s="1" t="s">
        <v>616</v>
      </c>
      <c r="H334" s="1" t="str">
        <f t="shared" ca="1" si="36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7"/>
        <v>createMovieClipSub</v>
      </c>
      <c r="K334" s="1" t="str">
        <f t="shared" si="33"/>
        <v>fireUpgrade3</v>
      </c>
      <c r="L334" s="1"/>
      <c r="M334" s="1"/>
      <c r="N334" s="14" t="str">
        <f t="shared" ca="1" si="38"/>
        <v>MovieClipSub * contFireUpgrade3;</v>
      </c>
      <c r="O334" s="14" t="str">
        <f t="shared" ca="1" si="34"/>
        <v>contFireUpgrade3= cont-&gt;createMovieClipSub("fireUpgrade3");</v>
      </c>
    </row>
    <row r="335" spans="1:15" x14ac:dyDescent="0.25">
      <c r="A335" s="1"/>
      <c r="B335" s="5" t="s">
        <v>547</v>
      </c>
      <c r="C335" s="1">
        <f t="shared" ca="1" si="35"/>
        <v>3</v>
      </c>
      <c r="D335" s="1" t="s">
        <v>316</v>
      </c>
      <c r="E335" s="1"/>
      <c r="F335" s="1"/>
      <c r="G335" s="1" t="s">
        <v>669</v>
      </c>
      <c r="H335" s="1" t="str">
        <f t="shared" ca="1" si="36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7"/>
        <v>createCase</v>
      </c>
      <c r="K335" s="1" t="str">
        <f t="shared" si="33"/>
        <v>upgradeCase</v>
      </c>
      <c r="L335" s="1"/>
      <c r="M335" s="1"/>
      <c r="N335" s="14" t="str">
        <f t="shared" ca="1" si="38"/>
        <v>MCCase * contFireUpgrade3UpgradeCase;</v>
      </c>
      <c r="O335" s="14" t="str">
        <f t="shared" ca="1" si="34"/>
        <v>contFireUpgrade3UpgradeCase= contFireUpgrade3-&gt;createCase("upgradeCase");</v>
      </c>
    </row>
    <row r="336" spans="1:15" x14ac:dyDescent="0.25">
      <c r="A336" s="1"/>
      <c r="B336" s="5" t="s">
        <v>545</v>
      </c>
      <c r="C336" s="1">
        <f t="shared" ca="1" si="35"/>
        <v>3</v>
      </c>
      <c r="D336" s="1" t="s">
        <v>316</v>
      </c>
      <c r="E336" s="1"/>
      <c r="F336" s="1"/>
      <c r="G336" s="1" t="s">
        <v>671</v>
      </c>
      <c r="H336" s="1" t="str">
        <f t="shared" ca="1" si="36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7"/>
        <v>createText</v>
      </c>
      <c r="K336" s="1" t="str">
        <f t="shared" si="33"/>
        <v>starsTXT</v>
      </c>
      <c r="L336" s="1"/>
      <c r="M336" s="1"/>
      <c r="N336" s="14" t="str">
        <f t="shared" ca="1" si="38"/>
        <v>MCText * contFireUpgrade3StarsTXT;</v>
      </c>
      <c r="O336" s="14" t="str">
        <f t="shared" ca="1" si="34"/>
        <v>contFireUpgrade3StarsTXT= contFireUpgrade3-&gt;createText("starsTXT");</v>
      </c>
    </row>
    <row r="337" spans="1:15" x14ac:dyDescent="0.25">
      <c r="A337" s="1"/>
      <c r="B337" s="4" t="s">
        <v>565</v>
      </c>
      <c r="C337" s="1">
        <f t="shared" ca="1" si="35"/>
        <v>2</v>
      </c>
      <c r="D337" s="1" t="s">
        <v>316</v>
      </c>
      <c r="E337" s="1"/>
      <c r="F337" s="1"/>
      <c r="G337" s="1" t="s">
        <v>616</v>
      </c>
      <c r="H337" s="1" t="str">
        <f t="shared" ca="1" si="36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7"/>
        <v>createMovieClipSub</v>
      </c>
      <c r="K337" s="1" t="str">
        <f t="shared" si="33"/>
        <v>fireUpgrade4</v>
      </c>
      <c r="L337" s="1"/>
      <c r="M337" s="1"/>
      <c r="N337" s="14" t="str">
        <f t="shared" ca="1" si="38"/>
        <v>MovieClipSub * contFireUpgrade4;</v>
      </c>
      <c r="O337" s="14" t="str">
        <f t="shared" ca="1" si="34"/>
        <v>contFireUpgrade4= cont-&gt;createMovieClipSub("fireUpgrade4");</v>
      </c>
    </row>
    <row r="338" spans="1:15" x14ac:dyDescent="0.25">
      <c r="A338" s="1"/>
      <c r="B338" s="5" t="s">
        <v>547</v>
      </c>
      <c r="C338" s="1">
        <f t="shared" ca="1" si="35"/>
        <v>3</v>
      </c>
      <c r="D338" s="1" t="s">
        <v>316</v>
      </c>
      <c r="E338" s="1"/>
      <c r="F338" s="1"/>
      <c r="G338" s="1" t="s">
        <v>669</v>
      </c>
      <c r="H338" s="1" t="str">
        <f t="shared" ca="1" si="36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7"/>
        <v>createCase</v>
      </c>
      <c r="K338" s="1" t="str">
        <f t="shared" si="33"/>
        <v>upgradeCase</v>
      </c>
      <c r="L338" s="1"/>
      <c r="M338" s="1"/>
      <c r="N338" s="14" t="str">
        <f t="shared" ca="1" si="38"/>
        <v>MCCase * contFireUpgrade4UpgradeCase;</v>
      </c>
      <c r="O338" s="14" t="str">
        <f t="shared" ca="1" si="34"/>
        <v>contFireUpgrade4UpgradeCase= contFireUpgrade4-&gt;createCase("upgradeCase");</v>
      </c>
    </row>
    <row r="339" spans="1:15" x14ac:dyDescent="0.25">
      <c r="A339" s="1"/>
      <c r="B339" s="5" t="s">
        <v>545</v>
      </c>
      <c r="C339" s="1">
        <f t="shared" ca="1" si="35"/>
        <v>3</v>
      </c>
      <c r="D339" s="1" t="s">
        <v>316</v>
      </c>
      <c r="E339" s="1"/>
      <c r="F339" s="1"/>
      <c r="G339" s="1" t="s">
        <v>671</v>
      </c>
      <c r="H339" s="1" t="str">
        <f t="shared" ca="1" si="36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7"/>
        <v>createText</v>
      </c>
      <c r="K339" s="1" t="str">
        <f t="shared" si="33"/>
        <v>starsTXT</v>
      </c>
      <c r="L339" s="1"/>
      <c r="M339" s="1"/>
      <c r="N339" s="14" t="str">
        <f t="shared" ca="1" si="38"/>
        <v>MCText * contFireUpgrade4StarsTXT;</v>
      </c>
      <c r="O339" s="14" t="str">
        <f t="shared" ca="1" si="34"/>
        <v>contFireUpgrade4StarsTXT= contFireUpgrade4-&gt;createText("starsTXT");</v>
      </c>
    </row>
    <row r="340" spans="1:15" x14ac:dyDescent="0.25">
      <c r="A340" s="1"/>
      <c r="B340" s="4" t="s">
        <v>566</v>
      </c>
      <c r="C340" s="1">
        <f t="shared" ca="1" si="35"/>
        <v>2</v>
      </c>
      <c r="D340" s="1" t="s">
        <v>316</v>
      </c>
      <c r="E340" s="1"/>
      <c r="F340" s="1"/>
      <c r="G340" s="1" t="s">
        <v>616</v>
      </c>
      <c r="H340" s="1" t="str">
        <f t="shared" ca="1" si="36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7"/>
        <v>createMovieClipSub</v>
      </c>
      <c r="K340" s="1" t="str">
        <f t="shared" si="33"/>
        <v>fireUpgrade5</v>
      </c>
      <c r="L340" s="1"/>
      <c r="M340" s="1"/>
      <c r="N340" s="14" t="str">
        <f t="shared" ca="1" si="38"/>
        <v>MovieClipSub * contFireUpgrade5;</v>
      </c>
      <c r="O340" s="14" t="str">
        <f t="shared" ca="1" si="34"/>
        <v>contFireUpgrade5= cont-&gt;createMovieClipSub("fireUpgrade5");</v>
      </c>
    </row>
    <row r="341" spans="1:15" x14ac:dyDescent="0.25">
      <c r="A341" s="1"/>
      <c r="B341" s="5" t="s">
        <v>547</v>
      </c>
      <c r="C341" s="1">
        <f t="shared" ca="1" si="35"/>
        <v>3</v>
      </c>
      <c r="D341" s="1" t="s">
        <v>316</v>
      </c>
      <c r="E341" s="1"/>
      <c r="F341" s="1"/>
      <c r="G341" s="1" t="s">
        <v>669</v>
      </c>
      <c r="H341" s="1" t="str">
        <f t="shared" ca="1" si="36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7"/>
        <v>createCase</v>
      </c>
      <c r="K341" s="1" t="str">
        <f t="shared" si="33"/>
        <v>upgradeCase</v>
      </c>
      <c r="L341" s="1"/>
      <c r="M341" s="1"/>
      <c r="N341" s="14" t="str">
        <f t="shared" ca="1" si="38"/>
        <v>MCCase * contFireUpgrade5UpgradeCase;</v>
      </c>
      <c r="O341" s="14" t="str">
        <f t="shared" ca="1" si="34"/>
        <v>contFireUpgrade5UpgradeCase= contFireUpgrade5-&gt;createCase("upgradeCase");</v>
      </c>
    </row>
    <row r="342" spans="1:15" x14ac:dyDescent="0.25">
      <c r="A342" s="1"/>
      <c r="B342" s="5" t="s">
        <v>545</v>
      </c>
      <c r="C342" s="1">
        <f t="shared" ca="1" si="35"/>
        <v>3</v>
      </c>
      <c r="D342" s="1" t="s">
        <v>316</v>
      </c>
      <c r="E342" s="1"/>
      <c r="F342" s="1"/>
      <c r="G342" s="1" t="s">
        <v>671</v>
      </c>
      <c r="H342" s="1" t="str">
        <f t="shared" ca="1" si="36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7"/>
        <v>createText</v>
      </c>
      <c r="K342" s="1" t="str">
        <f t="shared" si="33"/>
        <v>starsTXT</v>
      </c>
      <c r="L342" s="1"/>
      <c r="M342" s="1"/>
      <c r="N342" s="14" t="str">
        <f t="shared" ca="1" si="38"/>
        <v>MCText * contFireUpgrade5StarsTXT;</v>
      </c>
      <c r="O342" s="14" t="str">
        <f t="shared" ca="1" si="34"/>
        <v>contFireUpgrade5StarsTXT= contFireUpgrade5-&gt;createText("starsTXT");</v>
      </c>
    </row>
    <row r="343" spans="1:15" x14ac:dyDescent="0.25">
      <c r="A343" s="1"/>
      <c r="B343" s="4" t="s">
        <v>571</v>
      </c>
      <c r="C343" s="1">
        <f t="shared" ca="1" si="35"/>
        <v>2</v>
      </c>
      <c r="D343" s="1" t="s">
        <v>316</v>
      </c>
      <c r="E343" s="1"/>
      <c r="F343" s="1"/>
      <c r="G343" s="1" t="s">
        <v>616</v>
      </c>
      <c r="H343" s="1" t="str">
        <f t="shared" ca="1" si="36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7"/>
        <v>createMovieClipSub</v>
      </c>
      <c r="K343" s="1" t="str">
        <f t="shared" si="33"/>
        <v>iceUpgrade1</v>
      </c>
      <c r="L343" s="1"/>
      <c r="M343" s="1"/>
      <c r="N343" s="14" t="str">
        <f t="shared" ca="1" si="38"/>
        <v>MovieClipSub * contIceUpgrade1;</v>
      </c>
      <c r="O343" s="14" t="str">
        <f t="shared" ca="1" si="34"/>
        <v>contIceUpgrade1= cont-&gt;createMovieClipSub("iceUpgrade1");</v>
      </c>
    </row>
    <row r="344" spans="1:15" x14ac:dyDescent="0.25">
      <c r="A344" s="1"/>
      <c r="B344" s="5" t="s">
        <v>547</v>
      </c>
      <c r="C344" s="1">
        <f t="shared" ca="1" si="35"/>
        <v>3</v>
      </c>
      <c r="D344" s="1" t="s">
        <v>316</v>
      </c>
      <c r="E344" s="1"/>
      <c r="F344" s="1"/>
      <c r="G344" s="1" t="s">
        <v>669</v>
      </c>
      <c r="H344" s="1" t="str">
        <f t="shared" ca="1" si="36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7"/>
        <v>createCase</v>
      </c>
      <c r="K344" s="1" t="str">
        <f t="shared" si="33"/>
        <v>upgradeCase</v>
      </c>
      <c r="L344" s="1"/>
      <c r="M344" s="1"/>
      <c r="N344" s="14" t="str">
        <f t="shared" ca="1" si="38"/>
        <v>MCCase * contIceUpgrade1UpgradeCase;</v>
      </c>
      <c r="O344" s="14" t="str">
        <f t="shared" ca="1" si="34"/>
        <v>contIceUpgrade1UpgradeCase= contIceUpgrade1-&gt;createCase("upgradeCase");</v>
      </c>
    </row>
    <row r="345" spans="1:15" x14ac:dyDescent="0.25">
      <c r="A345" s="1"/>
      <c r="B345" s="5" t="s">
        <v>545</v>
      </c>
      <c r="C345" s="1">
        <f t="shared" ca="1" si="35"/>
        <v>3</v>
      </c>
      <c r="D345" s="1" t="s">
        <v>316</v>
      </c>
      <c r="E345" s="1"/>
      <c r="F345" s="1"/>
      <c r="G345" s="1" t="s">
        <v>671</v>
      </c>
      <c r="H345" s="1" t="str">
        <f t="shared" ca="1" si="36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7"/>
        <v>createText</v>
      </c>
      <c r="K345" s="1" t="str">
        <f t="shared" si="33"/>
        <v>starsTXT</v>
      </c>
      <c r="L345" s="1"/>
      <c r="M345" s="1"/>
      <c r="N345" s="14" t="str">
        <f t="shared" ca="1" si="38"/>
        <v>MCText * contIceUpgrade1StarsTXT;</v>
      </c>
      <c r="O345" s="14" t="str">
        <f t="shared" ca="1" si="34"/>
        <v>contIceUpgrade1StarsTXT= contIceUpgrade1-&gt;createText("starsTXT");</v>
      </c>
    </row>
    <row r="346" spans="1:15" x14ac:dyDescent="0.25">
      <c r="A346" s="1"/>
      <c r="B346" s="4" t="s">
        <v>570</v>
      </c>
      <c r="C346" s="1">
        <f t="shared" ca="1" si="35"/>
        <v>2</v>
      </c>
      <c r="D346" s="1" t="s">
        <v>316</v>
      </c>
      <c r="E346" s="1"/>
      <c r="F346" s="1"/>
      <c r="G346" s="1" t="s">
        <v>616</v>
      </c>
      <c r="H346" s="1" t="str">
        <f t="shared" ca="1" si="36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7"/>
        <v>createMovieClipSub</v>
      </c>
      <c r="K346" s="1" t="str">
        <f t="shared" si="33"/>
        <v>iceUpgrade2</v>
      </c>
      <c r="L346" s="1"/>
      <c r="M346" s="1"/>
      <c r="N346" s="14" t="str">
        <f t="shared" ca="1" si="38"/>
        <v>MovieClipSub * contIceUpgrade2;</v>
      </c>
      <c r="O346" s="14" t="str">
        <f t="shared" ca="1" si="34"/>
        <v>contIceUpgrade2= cont-&gt;createMovieClipSub("iceUpgrade2");</v>
      </c>
    </row>
    <row r="347" spans="1:15" x14ac:dyDescent="0.25">
      <c r="A347" s="1"/>
      <c r="B347" s="5" t="s">
        <v>547</v>
      </c>
      <c r="C347" s="1">
        <f t="shared" ca="1" si="35"/>
        <v>3</v>
      </c>
      <c r="D347" s="1" t="s">
        <v>316</v>
      </c>
      <c r="E347" s="1"/>
      <c r="F347" s="1"/>
      <c r="G347" s="1" t="s">
        <v>669</v>
      </c>
      <c r="H347" s="1" t="str">
        <f t="shared" ca="1" si="36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7"/>
        <v>createCase</v>
      </c>
      <c r="K347" s="1" t="str">
        <f t="shared" si="33"/>
        <v>upgradeCase</v>
      </c>
      <c r="L347" s="1"/>
      <c r="M347" s="1"/>
      <c r="N347" s="14" t="str">
        <f t="shared" ca="1" si="38"/>
        <v>MCCase * contIceUpgrade2UpgradeCase;</v>
      </c>
      <c r="O347" s="14" t="str">
        <f t="shared" ca="1" si="34"/>
        <v>contIceUpgrade2UpgradeCase= contIceUpgrade2-&gt;createCase("upgradeCase");</v>
      </c>
    </row>
    <row r="348" spans="1:15" x14ac:dyDescent="0.25">
      <c r="A348" s="1"/>
      <c r="B348" s="5" t="s">
        <v>563</v>
      </c>
      <c r="C348" s="1">
        <f t="shared" ca="1" si="35"/>
        <v>3</v>
      </c>
      <c r="D348" s="1" t="s">
        <v>316</v>
      </c>
      <c r="E348" s="1"/>
      <c r="F348" s="1"/>
      <c r="G348" s="1" t="s">
        <v>671</v>
      </c>
      <c r="H348" s="1" t="str">
        <f t="shared" ca="1" si="36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7"/>
        <v>createText</v>
      </c>
      <c r="K348" s="1" t="str">
        <f t="shared" si="33"/>
        <v>starsTXT</v>
      </c>
      <c r="L348" s="1"/>
      <c r="M348" s="1"/>
      <c r="N348" s="14" t="str">
        <f t="shared" ca="1" si="38"/>
        <v>MCText * contIceUpgrade2StarsTXT;</v>
      </c>
      <c r="O348" s="14" t="str">
        <f t="shared" ca="1" si="34"/>
        <v>contIceUpgrade2StarsTXT= contIceUpgrade2-&gt;createText("starsTXT");</v>
      </c>
    </row>
    <row r="349" spans="1:15" x14ac:dyDescent="0.25">
      <c r="A349" s="1"/>
      <c r="B349" s="4" t="s">
        <v>569</v>
      </c>
      <c r="C349" s="1">
        <f t="shared" ca="1" si="35"/>
        <v>2</v>
      </c>
      <c r="D349" s="1" t="s">
        <v>316</v>
      </c>
      <c r="E349" s="1"/>
      <c r="F349" s="1"/>
      <c r="G349" s="1" t="s">
        <v>616</v>
      </c>
      <c r="H349" s="1" t="str">
        <f t="shared" ca="1" si="36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7"/>
        <v>createMovieClipSub</v>
      </c>
      <c r="K349" s="1" t="str">
        <f t="shared" si="33"/>
        <v>iceUpgrade3</v>
      </c>
      <c r="L349" s="1"/>
      <c r="M349" s="1"/>
      <c r="N349" s="14" t="str">
        <f t="shared" ca="1" si="38"/>
        <v>MovieClipSub * contIceUpgrade3;</v>
      </c>
      <c r="O349" s="14" t="str">
        <f t="shared" ca="1" si="34"/>
        <v>contIceUpgrade3= cont-&gt;createMovieClipSub("iceUpgrade3");</v>
      </c>
    </row>
    <row r="350" spans="1:15" x14ac:dyDescent="0.25">
      <c r="A350" s="1"/>
      <c r="B350" s="5" t="s">
        <v>547</v>
      </c>
      <c r="C350" s="1">
        <f t="shared" ca="1" si="35"/>
        <v>3</v>
      </c>
      <c r="D350" s="1" t="s">
        <v>316</v>
      </c>
      <c r="E350" s="1"/>
      <c r="F350" s="1"/>
      <c r="G350" s="1" t="s">
        <v>669</v>
      </c>
      <c r="H350" s="1" t="str">
        <f t="shared" ca="1" si="36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7"/>
        <v>createCase</v>
      </c>
      <c r="K350" s="1" t="str">
        <f t="shared" si="33"/>
        <v>upgradeCase</v>
      </c>
      <c r="L350" s="1"/>
      <c r="M350" s="1"/>
      <c r="N350" s="14" t="str">
        <f t="shared" ca="1" si="38"/>
        <v>MCCase * contIceUpgrade3UpgradeCase;</v>
      </c>
      <c r="O350" s="14" t="str">
        <f t="shared" ca="1" si="34"/>
        <v>contIceUpgrade3UpgradeCase= contIceUpgrade3-&gt;createCase("upgradeCase");</v>
      </c>
    </row>
    <row r="351" spans="1:15" x14ac:dyDescent="0.25">
      <c r="A351" s="1"/>
      <c r="B351" s="5" t="s">
        <v>545</v>
      </c>
      <c r="C351" s="1">
        <f t="shared" ca="1" si="35"/>
        <v>3</v>
      </c>
      <c r="D351" s="1" t="s">
        <v>316</v>
      </c>
      <c r="E351" s="1"/>
      <c r="F351" s="1"/>
      <c r="G351" s="1" t="s">
        <v>671</v>
      </c>
      <c r="H351" s="1" t="str">
        <f t="shared" ca="1" si="36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7"/>
        <v>createText</v>
      </c>
      <c r="K351" s="1" t="str">
        <f t="shared" si="33"/>
        <v>starsTXT</v>
      </c>
      <c r="L351" s="1"/>
      <c r="M351" s="1"/>
      <c r="N351" s="14" t="str">
        <f t="shared" ca="1" si="38"/>
        <v>MCText * contIceUpgrade3StarsTXT;</v>
      </c>
      <c r="O351" s="14" t="str">
        <f t="shared" ca="1" si="34"/>
        <v>contIceUpgrade3StarsTXT= contIceUpgrade3-&gt;createText("starsTXT");</v>
      </c>
    </row>
    <row r="352" spans="1:15" x14ac:dyDescent="0.25">
      <c r="A352" s="1"/>
      <c r="B352" s="4" t="s">
        <v>568</v>
      </c>
      <c r="C352" s="1">
        <f t="shared" ca="1" si="35"/>
        <v>2</v>
      </c>
      <c r="D352" s="1" t="s">
        <v>316</v>
      </c>
      <c r="E352" s="1"/>
      <c r="F352" s="1"/>
      <c r="G352" s="1" t="s">
        <v>616</v>
      </c>
      <c r="H352" s="1" t="str">
        <f t="shared" ca="1" si="36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7"/>
        <v>createMovieClipSub</v>
      </c>
      <c r="K352" s="1" t="str">
        <f t="shared" si="33"/>
        <v>iceUpgrade4</v>
      </c>
      <c r="L352" s="1"/>
      <c r="M352" s="1"/>
      <c r="N352" s="14" t="str">
        <f t="shared" ca="1" si="38"/>
        <v>MovieClipSub * contIceUpgrade4;</v>
      </c>
      <c r="O352" s="14" t="str">
        <f t="shared" ca="1" si="34"/>
        <v>contIceUpgrade4= cont-&gt;createMovieClipSub("iceUpgrade4");</v>
      </c>
    </row>
    <row r="353" spans="1:15" x14ac:dyDescent="0.25">
      <c r="A353" s="1"/>
      <c r="B353" s="5" t="s">
        <v>547</v>
      </c>
      <c r="C353" s="1">
        <f t="shared" ca="1" si="35"/>
        <v>3</v>
      </c>
      <c r="D353" s="1" t="s">
        <v>316</v>
      </c>
      <c r="E353" s="1"/>
      <c r="F353" s="1"/>
      <c r="G353" s="1" t="s">
        <v>669</v>
      </c>
      <c r="H353" s="1" t="str">
        <f t="shared" ca="1" si="36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7"/>
        <v>createCase</v>
      </c>
      <c r="K353" s="1" t="str">
        <f t="shared" si="33"/>
        <v>upgradeCase</v>
      </c>
      <c r="L353" s="1"/>
      <c r="M353" s="1"/>
      <c r="N353" s="14" t="str">
        <f t="shared" ca="1" si="38"/>
        <v>MCCase * contIceUpgrade4UpgradeCase;</v>
      </c>
      <c r="O353" s="14" t="str">
        <f t="shared" ca="1" si="34"/>
        <v>contIceUpgrade4UpgradeCase= contIceUpgrade4-&gt;createCase("upgradeCase");</v>
      </c>
    </row>
    <row r="354" spans="1:15" x14ac:dyDescent="0.25">
      <c r="A354" s="1"/>
      <c r="B354" s="5" t="s">
        <v>545</v>
      </c>
      <c r="C354" s="1">
        <f t="shared" ca="1" si="35"/>
        <v>3</v>
      </c>
      <c r="D354" s="1" t="s">
        <v>316</v>
      </c>
      <c r="E354" s="1"/>
      <c r="F354" s="1"/>
      <c r="G354" s="1" t="s">
        <v>671</v>
      </c>
      <c r="H354" s="1" t="str">
        <f t="shared" ca="1" si="36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7"/>
        <v>createText</v>
      </c>
      <c r="K354" s="1" t="str">
        <f t="shared" si="33"/>
        <v>starsTXT</v>
      </c>
      <c r="L354" s="1"/>
      <c r="M354" s="1"/>
      <c r="N354" s="14" t="str">
        <f t="shared" ca="1" si="38"/>
        <v>MCText * contIceUpgrade4StarsTXT;</v>
      </c>
      <c r="O354" s="14" t="str">
        <f t="shared" ca="1" si="34"/>
        <v>contIceUpgrade4StarsTXT= contIceUpgrade4-&gt;createText("starsTXT");</v>
      </c>
    </row>
    <row r="355" spans="1:15" x14ac:dyDescent="0.25">
      <c r="A355" s="1"/>
      <c r="B355" s="4" t="s">
        <v>567</v>
      </c>
      <c r="C355" s="1">
        <f t="shared" ca="1" si="35"/>
        <v>2</v>
      </c>
      <c r="D355" s="1" t="s">
        <v>316</v>
      </c>
      <c r="E355" s="1"/>
      <c r="F355" s="1"/>
      <c r="G355" s="1" t="s">
        <v>616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7"/>
        <v>createMovieClipSub</v>
      </c>
      <c r="K355" s="1" t="str">
        <f t="shared" si="33"/>
        <v>iceUpgrade5</v>
      </c>
      <c r="L355" s="1"/>
      <c r="M355" s="1"/>
      <c r="N355" s="14" t="str">
        <f t="shared" ca="1" si="38"/>
        <v>MovieClipSub * contIceUpgrade5;</v>
      </c>
      <c r="O355" s="14" t="str">
        <f t="shared" ca="1" si="34"/>
        <v>contIceUpgrade5= cont-&gt;createMovieClipSub("iceUpgrade5");</v>
      </c>
    </row>
    <row r="356" spans="1:15" x14ac:dyDescent="0.25">
      <c r="A356" s="1"/>
      <c r="B356" s="5" t="s">
        <v>547</v>
      </c>
      <c r="C356" s="1">
        <f t="shared" ca="1" si="35"/>
        <v>3</v>
      </c>
      <c r="D356" s="1" t="s">
        <v>316</v>
      </c>
      <c r="E356" s="1"/>
      <c r="F356" s="1"/>
      <c r="G356" s="1" t="s">
        <v>669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7"/>
        <v>createCase</v>
      </c>
      <c r="K356" s="1" t="str">
        <f t="shared" si="33"/>
        <v>upgradeCase</v>
      </c>
      <c r="L356" s="1"/>
      <c r="M356" s="1"/>
      <c r="N356" s="14" t="str">
        <f t="shared" ca="1" si="38"/>
        <v>MCCase * contIceUpgrade5UpgradeCase;</v>
      </c>
      <c r="O356" s="14" t="str">
        <f t="shared" ca="1" si="34"/>
        <v>contIceUpgrade5UpgradeCase= contIceUpgrade5-&gt;createCase("upgradeCase");</v>
      </c>
    </row>
    <row r="357" spans="1:15" x14ac:dyDescent="0.25">
      <c r="A357" s="1"/>
      <c r="B357" s="5" t="s">
        <v>545</v>
      </c>
      <c r="C357" s="1">
        <f t="shared" ca="1" si="35"/>
        <v>3</v>
      </c>
      <c r="D357" s="1" t="s">
        <v>316</v>
      </c>
      <c r="E357" s="1"/>
      <c r="F357" s="1"/>
      <c r="G357" s="1" t="s">
        <v>671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7"/>
        <v>createText</v>
      </c>
      <c r="K357" s="1" t="str">
        <f t="shared" si="33"/>
        <v>starsTXT</v>
      </c>
      <c r="L357" s="1"/>
      <c r="M357" s="1"/>
      <c r="N357" s="14" t="str">
        <f t="shared" ca="1" si="38"/>
        <v>MCText * contIceUpgrade5StarsTXT;</v>
      </c>
      <c r="O357" s="14" t="str">
        <f t="shared" ca="1" si="34"/>
        <v>contIceUpgrade5StarsTXT= contIceUpgrade5-&gt;createText("starsTXT");</v>
      </c>
    </row>
    <row r="358" spans="1:15" x14ac:dyDescent="0.25">
      <c r="A358" s="1"/>
      <c r="B358" s="4" t="s">
        <v>572</v>
      </c>
      <c r="C358" s="1">
        <f t="shared" ca="1" si="35"/>
        <v>2</v>
      </c>
      <c r="D358" s="1" t="s">
        <v>316</v>
      </c>
      <c r="E358" s="1"/>
      <c r="F358" s="1"/>
      <c r="G358" s="1" t="s">
        <v>616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7"/>
        <v>createMovieClipSub</v>
      </c>
      <c r="K358" s="1" t="str">
        <f t="shared" si="33"/>
        <v>stoneUpgrade1</v>
      </c>
      <c r="L358" s="1"/>
      <c r="M358" s="1"/>
      <c r="N358" s="14" t="str">
        <f t="shared" ca="1" si="38"/>
        <v>MovieClipSub * contStoneUpgrade1;</v>
      </c>
      <c r="O358" s="14" t="str">
        <f t="shared" ca="1" si="34"/>
        <v>contStoneUpgrade1= cont-&gt;createMovieClipSub("stoneUpgrade1");</v>
      </c>
    </row>
    <row r="359" spans="1:15" x14ac:dyDescent="0.25">
      <c r="A359" s="1"/>
      <c r="B359" s="5" t="s">
        <v>547</v>
      </c>
      <c r="C359" s="1">
        <f t="shared" ca="1" si="35"/>
        <v>3</v>
      </c>
      <c r="D359" s="1" t="s">
        <v>316</v>
      </c>
      <c r="E359" s="1"/>
      <c r="F359" s="1"/>
      <c r="G359" s="1" t="s">
        <v>669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7"/>
        <v>createCase</v>
      </c>
      <c r="K359" s="1" t="str">
        <f t="shared" si="33"/>
        <v>upgradeCase</v>
      </c>
      <c r="L359" s="1"/>
      <c r="M359" s="1"/>
      <c r="N359" s="14" t="str">
        <f t="shared" ca="1" si="38"/>
        <v>MCCase * contStoneUpgrade1UpgradeCase;</v>
      </c>
      <c r="O359" s="14" t="str">
        <f t="shared" ca="1" si="34"/>
        <v>contStoneUpgrade1UpgradeCase= contStoneUpgrade1-&gt;createCase("upgradeCase");</v>
      </c>
    </row>
    <row r="360" spans="1:15" x14ac:dyDescent="0.25">
      <c r="A360" s="1"/>
      <c r="B360" s="5" t="s">
        <v>545</v>
      </c>
      <c r="C360" s="1">
        <f t="shared" ca="1" si="35"/>
        <v>3</v>
      </c>
      <c r="D360" s="1" t="s">
        <v>316</v>
      </c>
      <c r="E360" s="1"/>
      <c r="F360" s="1"/>
      <c r="G360" s="1" t="s">
        <v>671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7"/>
        <v>createText</v>
      </c>
      <c r="K360" s="1" t="str">
        <f t="shared" si="33"/>
        <v>starsTXT</v>
      </c>
      <c r="L360" s="1"/>
      <c r="M360" s="1"/>
      <c r="N360" s="14" t="str">
        <f t="shared" ca="1" si="38"/>
        <v>MCText * contStoneUpgrade1StarsTXT;</v>
      </c>
      <c r="O360" s="14" t="str">
        <f t="shared" ca="1" si="34"/>
        <v>contStoneUpgrade1StarsTXT= contStoneUpgrade1-&gt;createText("starsTXT");</v>
      </c>
    </row>
    <row r="361" spans="1:15" x14ac:dyDescent="0.25">
      <c r="A361" s="1"/>
      <c r="B361" s="4" t="s">
        <v>573</v>
      </c>
      <c r="C361" s="1">
        <f t="shared" ca="1" si="35"/>
        <v>2</v>
      </c>
      <c r="D361" s="1" t="s">
        <v>316</v>
      </c>
      <c r="E361" s="1"/>
      <c r="F361" s="1"/>
      <c r="G361" s="1" t="s">
        <v>616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7"/>
        <v>createMovieClipSub</v>
      </c>
      <c r="K361" s="1" t="str">
        <f t="shared" si="33"/>
        <v>stoneUpgrade2</v>
      </c>
      <c r="L361" s="1"/>
      <c r="M361" s="1"/>
      <c r="N361" s="14" t="str">
        <f t="shared" ca="1" si="38"/>
        <v>MovieClipSub * contStoneUpgrade2;</v>
      </c>
      <c r="O361" s="14" t="str">
        <f t="shared" ca="1" si="34"/>
        <v>contStoneUpgrade2= cont-&gt;createMovieClipSub("stoneUpgrade2");</v>
      </c>
    </row>
    <row r="362" spans="1:15" x14ac:dyDescent="0.25">
      <c r="A362" s="1"/>
      <c r="B362" s="5" t="s">
        <v>547</v>
      </c>
      <c r="C362" s="1">
        <f t="shared" ca="1" si="35"/>
        <v>3</v>
      </c>
      <c r="D362" s="1" t="s">
        <v>316</v>
      </c>
      <c r="E362" s="1"/>
      <c r="F362" s="1"/>
      <c r="G362" s="1" t="s">
        <v>669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7"/>
        <v>createCase</v>
      </c>
      <c r="K362" s="1" t="str">
        <f t="shared" si="33"/>
        <v>upgradeCase</v>
      </c>
      <c r="L362" s="1"/>
      <c r="M362" s="1"/>
      <c r="N362" s="14" t="str">
        <f t="shared" ca="1" si="38"/>
        <v>MCCase * contStoneUpgrade2UpgradeCase;</v>
      </c>
      <c r="O362" s="14" t="str">
        <f t="shared" ca="1" si="34"/>
        <v>contStoneUpgrade2UpgradeCase= contStoneUpgrade2-&gt;createCase("upgradeCase");</v>
      </c>
    </row>
    <row r="363" spans="1:15" x14ac:dyDescent="0.25">
      <c r="A363" s="1"/>
      <c r="B363" s="5" t="s">
        <v>563</v>
      </c>
      <c r="C363" s="1">
        <f t="shared" ca="1" si="35"/>
        <v>3</v>
      </c>
      <c r="D363" s="1" t="s">
        <v>316</v>
      </c>
      <c r="E363" s="1"/>
      <c r="F363" s="1"/>
      <c r="G363" s="1" t="s">
        <v>671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7"/>
        <v>createText</v>
      </c>
      <c r="K363" s="1" t="str">
        <f t="shared" si="33"/>
        <v>starsTXT</v>
      </c>
      <c r="L363" s="1"/>
      <c r="M363" s="1"/>
      <c r="N363" s="14" t="str">
        <f t="shared" ca="1" si="38"/>
        <v>MCText * contStoneUpgrade2StarsTXT;</v>
      </c>
      <c r="O363" s="14" t="str">
        <f t="shared" ca="1" si="34"/>
        <v>contStoneUpgrade2StarsTXT= contStoneUpgrade2-&gt;createText("starsTXT");</v>
      </c>
    </row>
    <row r="364" spans="1:15" x14ac:dyDescent="0.25">
      <c r="A364" s="1"/>
      <c r="B364" s="4" t="s">
        <v>574</v>
      </c>
      <c r="C364" s="1">
        <f t="shared" ca="1" si="35"/>
        <v>2</v>
      </c>
      <c r="D364" s="1" t="s">
        <v>316</v>
      </c>
      <c r="E364" s="1"/>
      <c r="F364" s="1"/>
      <c r="G364" s="1" t="s">
        <v>616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7"/>
        <v>createMovieClipSub</v>
      </c>
      <c r="K364" s="1" t="str">
        <f t="shared" si="33"/>
        <v>stoneUpgrade3</v>
      </c>
      <c r="L364" s="1"/>
      <c r="M364" s="1"/>
      <c r="N364" s="14" t="str">
        <f t="shared" ca="1" si="38"/>
        <v>MovieClipSub * contStoneUpgrade3;</v>
      </c>
      <c r="O364" s="14" t="str">
        <f t="shared" ca="1" si="34"/>
        <v>contStoneUpgrade3= cont-&gt;createMovieClipSub("stoneUpgrade3");</v>
      </c>
    </row>
    <row r="365" spans="1:15" x14ac:dyDescent="0.25">
      <c r="A365" s="1"/>
      <c r="B365" s="5" t="s">
        <v>547</v>
      </c>
      <c r="C365" s="1">
        <f t="shared" ca="1" si="35"/>
        <v>3</v>
      </c>
      <c r="D365" s="1" t="s">
        <v>316</v>
      </c>
      <c r="E365" s="1"/>
      <c r="F365" s="1"/>
      <c r="G365" s="1" t="s">
        <v>669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7"/>
        <v>createCase</v>
      </c>
      <c r="K365" s="1" t="str">
        <f t="shared" si="33"/>
        <v>upgradeCase</v>
      </c>
      <c r="L365" s="1"/>
      <c r="M365" s="1"/>
      <c r="N365" s="14" t="str">
        <f t="shared" ca="1" si="38"/>
        <v>MCCase * contStoneUpgrade3UpgradeCase;</v>
      </c>
      <c r="O365" s="14" t="str">
        <f t="shared" ca="1" si="34"/>
        <v>contStoneUpgrade3UpgradeCase= contStoneUpgrade3-&gt;createCase("upgradeCase");</v>
      </c>
    </row>
    <row r="366" spans="1:15" x14ac:dyDescent="0.25">
      <c r="A366" s="1"/>
      <c r="B366" s="5" t="s">
        <v>545</v>
      </c>
      <c r="C366" s="1">
        <f t="shared" ca="1" si="35"/>
        <v>3</v>
      </c>
      <c r="D366" s="1" t="s">
        <v>316</v>
      </c>
      <c r="E366" s="1"/>
      <c r="F366" s="1"/>
      <c r="G366" s="1" t="s">
        <v>671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7"/>
        <v>createText</v>
      </c>
      <c r="K366" s="1" t="str">
        <f t="shared" si="33"/>
        <v>starsTXT</v>
      </c>
      <c r="L366" s="1"/>
      <c r="M366" s="1"/>
      <c r="N366" s="14" t="str">
        <f t="shared" ca="1" si="38"/>
        <v>MCText * contStoneUpgrade3StarsTXT;</v>
      </c>
      <c r="O366" s="14" t="str">
        <f t="shared" ca="1" si="34"/>
        <v>contStoneUpgrade3StarsTXT= contStoneUpgrade3-&gt;createText("starsTXT");</v>
      </c>
    </row>
    <row r="367" spans="1:15" x14ac:dyDescent="0.25">
      <c r="A367" s="1"/>
      <c r="B367" s="4" t="s">
        <v>575</v>
      </c>
      <c r="C367" s="1">
        <f t="shared" ca="1" si="35"/>
        <v>2</v>
      </c>
      <c r="D367" s="1" t="s">
        <v>316</v>
      </c>
      <c r="E367" s="1"/>
      <c r="F367" s="1"/>
      <c r="G367" s="1" t="s">
        <v>616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7"/>
        <v>createMovieClipSub</v>
      </c>
      <c r="K367" s="1" t="str">
        <f t="shared" si="33"/>
        <v>stoneUpgrade4</v>
      </c>
      <c r="L367" s="1"/>
      <c r="M367" s="1"/>
      <c r="N367" s="14" t="str">
        <f t="shared" ca="1" si="38"/>
        <v>MovieClipSub * contStoneUpgrade4;</v>
      </c>
      <c r="O367" s="14" t="str">
        <f t="shared" ca="1" si="34"/>
        <v>contStoneUpgrade4= cont-&gt;createMovieClipSub("stoneUpgrade4");</v>
      </c>
    </row>
    <row r="368" spans="1:15" x14ac:dyDescent="0.25">
      <c r="A368" s="1"/>
      <c r="B368" s="5" t="s">
        <v>547</v>
      </c>
      <c r="C368" s="1">
        <f t="shared" ca="1" si="35"/>
        <v>3</v>
      </c>
      <c r="D368" s="1" t="s">
        <v>316</v>
      </c>
      <c r="E368" s="1"/>
      <c r="F368" s="1"/>
      <c r="G368" s="1" t="s">
        <v>669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7"/>
        <v>createCase</v>
      </c>
      <c r="K368" s="1" t="str">
        <f t="shared" si="33"/>
        <v>upgradeCase</v>
      </c>
      <c r="L368" s="1"/>
      <c r="M368" s="1"/>
      <c r="N368" s="14" t="str">
        <f t="shared" ca="1" si="38"/>
        <v>MCCase * contStoneUpgrade4UpgradeCase;</v>
      </c>
      <c r="O368" s="14" t="str">
        <f t="shared" ca="1" si="34"/>
        <v>contStoneUpgrade4UpgradeCase= contStoneUpgrade4-&gt;createCase("upgradeCase");</v>
      </c>
    </row>
    <row r="369" spans="1:15" x14ac:dyDescent="0.25">
      <c r="A369" s="1"/>
      <c r="B369" s="5" t="s">
        <v>545</v>
      </c>
      <c r="C369" s="1">
        <f t="shared" ca="1" si="35"/>
        <v>3</v>
      </c>
      <c r="D369" s="1" t="s">
        <v>316</v>
      </c>
      <c r="E369" s="1"/>
      <c r="F369" s="1"/>
      <c r="G369" s="1" t="s">
        <v>671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7"/>
        <v>createText</v>
      </c>
      <c r="K369" s="1" t="str">
        <f t="shared" si="33"/>
        <v>starsTXT</v>
      </c>
      <c r="L369" s="1"/>
      <c r="M369" s="1"/>
      <c r="N369" s="14" t="str">
        <f t="shared" ca="1" si="38"/>
        <v>MCText * contStoneUpgrade4StarsTXT;</v>
      </c>
      <c r="O369" s="14" t="str">
        <f t="shared" ca="1" si="34"/>
        <v>contStoneUpgrade4StarsTXT= contStoneUpgrade4-&gt;createText("starsTXT");</v>
      </c>
    </row>
    <row r="370" spans="1:15" x14ac:dyDescent="0.25">
      <c r="A370" s="1"/>
      <c r="B370" s="4" t="s">
        <v>576</v>
      </c>
      <c r="C370" s="1">
        <f t="shared" ca="1" si="35"/>
        <v>2</v>
      </c>
      <c r="D370" s="1" t="s">
        <v>316</v>
      </c>
      <c r="E370" s="1"/>
      <c r="F370" s="1"/>
      <c r="G370" s="1" t="s">
        <v>616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7"/>
        <v>createMovieClipSub</v>
      </c>
      <c r="K370" s="1" t="str">
        <f t="shared" si="33"/>
        <v>stoneUpgrade5</v>
      </c>
      <c r="L370" s="1"/>
      <c r="M370" s="1"/>
      <c r="N370" s="14" t="str">
        <f t="shared" ca="1" si="38"/>
        <v>MovieClipSub * contStoneUpgrade5;</v>
      </c>
      <c r="O370" s="14" t="str">
        <f t="shared" ca="1" si="34"/>
        <v>contStoneUpgrade5= cont-&gt;createMovieClipSub("stoneUpgrade5");</v>
      </c>
    </row>
    <row r="371" spans="1:15" x14ac:dyDescent="0.25">
      <c r="A371" s="1"/>
      <c r="B371" s="5" t="s">
        <v>547</v>
      </c>
      <c r="C371" s="1">
        <f t="shared" ca="1" si="35"/>
        <v>3</v>
      </c>
      <c r="D371" s="1" t="s">
        <v>316</v>
      </c>
      <c r="E371" s="1"/>
      <c r="F371" s="1"/>
      <c r="G371" s="1" t="s">
        <v>669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7"/>
        <v>createCase</v>
      </c>
      <c r="K371" s="1" t="str">
        <f t="shared" si="33"/>
        <v>upgradeCase</v>
      </c>
      <c r="L371" s="1"/>
      <c r="M371" s="1"/>
      <c r="N371" s="14" t="str">
        <f t="shared" ca="1" si="38"/>
        <v>MCCase * contStoneUpgrade5UpgradeCase;</v>
      </c>
      <c r="O371" s="14" t="str">
        <f t="shared" ca="1" si="34"/>
        <v>contStoneUpgrade5UpgradeCase= contStoneUpgrade5-&gt;createCase("upgradeCase");</v>
      </c>
    </row>
    <row r="372" spans="1:15" x14ac:dyDescent="0.25">
      <c r="A372" s="1"/>
      <c r="B372" s="5" t="s">
        <v>545</v>
      </c>
      <c r="C372" s="1">
        <f t="shared" ca="1" si="35"/>
        <v>3</v>
      </c>
      <c r="D372" s="1" t="s">
        <v>316</v>
      </c>
      <c r="E372" s="1"/>
      <c r="F372" s="1"/>
      <c r="G372" s="1" t="s">
        <v>671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7"/>
        <v>createText</v>
      </c>
      <c r="K372" s="1" t="str">
        <f t="shared" si="33"/>
        <v>starsTXT</v>
      </c>
      <c r="L372" s="1"/>
      <c r="M372" s="1"/>
      <c r="N372" s="14" t="str">
        <f t="shared" ca="1" si="38"/>
        <v>MCText * contStoneUpgrade5StarsTXT;</v>
      </c>
      <c r="O372" s="14" t="str">
        <f t="shared" ca="1" si="34"/>
        <v>contStoneUpgrade5StarsTXT= contStoneUpgrade5-&gt;createText("starsTXT");</v>
      </c>
    </row>
    <row r="373" spans="1:15" x14ac:dyDescent="0.25">
      <c r="A373" s="1"/>
      <c r="B373" s="4" t="s">
        <v>581</v>
      </c>
      <c r="C373" s="1">
        <f t="shared" ca="1" si="35"/>
        <v>2</v>
      </c>
      <c r="D373" s="1" t="s">
        <v>316</v>
      </c>
      <c r="E373" s="1"/>
      <c r="F373" s="1"/>
      <c r="G373" s="1" t="s">
        <v>616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7"/>
        <v>createMovieClipSub</v>
      </c>
      <c r="K373" s="1" t="str">
        <f t="shared" si="33"/>
        <v>levinUpgrade1</v>
      </c>
      <c r="L373" s="1"/>
      <c r="M373" s="1"/>
      <c r="N373" s="14" t="str">
        <f t="shared" ca="1" si="38"/>
        <v>MovieClipSub * contLevinUpgrade1;</v>
      </c>
      <c r="O373" s="14" t="str">
        <f t="shared" ca="1" si="34"/>
        <v>contLevinUpgrade1= cont-&gt;createMovieClipSub("levinUpgrade1");</v>
      </c>
    </row>
    <row r="374" spans="1:15" x14ac:dyDescent="0.25">
      <c r="A374" s="1"/>
      <c r="B374" s="5" t="s">
        <v>547</v>
      </c>
      <c r="C374" s="1">
        <f t="shared" ca="1" si="35"/>
        <v>3</v>
      </c>
      <c r="D374" s="1" t="s">
        <v>316</v>
      </c>
      <c r="E374" s="1"/>
      <c r="F374" s="1"/>
      <c r="G374" s="1" t="s">
        <v>669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7"/>
        <v>createCase</v>
      </c>
      <c r="K374" s="1" t="str">
        <f t="shared" si="33"/>
        <v>upgradeCase</v>
      </c>
      <c r="L374" s="1"/>
      <c r="M374" s="1"/>
      <c r="N374" s="14" t="str">
        <f t="shared" ca="1" si="38"/>
        <v>MCCase * contLevinUpgrade1UpgradeCase;</v>
      </c>
      <c r="O374" s="14" t="str">
        <f t="shared" ca="1" si="34"/>
        <v>contLevinUpgrade1UpgradeCase= contLevinUpgrade1-&gt;createCase("upgradeCase");</v>
      </c>
    </row>
    <row r="375" spans="1:15" x14ac:dyDescent="0.25">
      <c r="A375" s="1"/>
      <c r="B375" s="5" t="s">
        <v>545</v>
      </c>
      <c r="C375" s="1">
        <f t="shared" ca="1" si="35"/>
        <v>3</v>
      </c>
      <c r="D375" s="1" t="s">
        <v>316</v>
      </c>
      <c r="E375" s="1"/>
      <c r="F375" s="1"/>
      <c r="G375" s="1" t="s">
        <v>671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7"/>
        <v>createText</v>
      </c>
      <c r="K375" s="1" t="str">
        <f t="shared" si="33"/>
        <v>starsTXT</v>
      </c>
      <c r="L375" s="1"/>
      <c r="M375" s="1"/>
      <c r="N375" s="14" t="str">
        <f t="shared" ca="1" si="38"/>
        <v>MCText * contLevinUpgrade1StarsTXT;</v>
      </c>
      <c r="O375" s="14" t="str">
        <f t="shared" ca="1" si="34"/>
        <v>contLevinUpgrade1StarsTXT= contLevinUpgrade1-&gt;createText("starsTXT");</v>
      </c>
    </row>
    <row r="376" spans="1:15" x14ac:dyDescent="0.25">
      <c r="A376" s="1"/>
      <c r="B376" s="4" t="s">
        <v>580</v>
      </c>
      <c r="C376" s="1">
        <f t="shared" ca="1" si="35"/>
        <v>2</v>
      </c>
      <c r="D376" s="1" t="s">
        <v>316</v>
      </c>
      <c r="E376" s="1"/>
      <c r="F376" s="1"/>
      <c r="G376" s="1" t="s">
        <v>616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7"/>
        <v>createMovieClipSub</v>
      </c>
      <c r="K376" s="1" t="str">
        <f t="shared" si="33"/>
        <v>levinUpgrade2</v>
      </c>
      <c r="L376" s="1"/>
      <c r="M376" s="1"/>
      <c r="N376" s="14" t="str">
        <f t="shared" ca="1" si="38"/>
        <v>MovieClipSub * contLevinUpgrade2;</v>
      </c>
      <c r="O376" s="14" t="str">
        <f t="shared" ca="1" si="34"/>
        <v>contLevinUpgrade2= cont-&gt;createMovieClipSub("levinUpgrade2");</v>
      </c>
    </row>
    <row r="377" spans="1:15" x14ac:dyDescent="0.25">
      <c r="A377" s="1"/>
      <c r="B377" s="5" t="s">
        <v>547</v>
      </c>
      <c r="C377" s="1">
        <f t="shared" ca="1" si="35"/>
        <v>3</v>
      </c>
      <c r="D377" s="1" t="s">
        <v>316</v>
      </c>
      <c r="E377" s="1"/>
      <c r="F377" s="1"/>
      <c r="G377" s="1" t="s">
        <v>669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7"/>
        <v>createCase</v>
      </c>
      <c r="K377" s="1" t="str">
        <f t="shared" si="33"/>
        <v>upgradeCase</v>
      </c>
      <c r="L377" s="1"/>
      <c r="M377" s="1"/>
      <c r="N377" s="14" t="str">
        <f t="shared" ca="1" si="38"/>
        <v>MCCase * contLevinUpgrade2UpgradeCase;</v>
      </c>
      <c r="O377" s="14" t="str">
        <f t="shared" ca="1" si="34"/>
        <v>contLevinUpgrade2UpgradeCase= contLevinUpgrade2-&gt;createCase("upgradeCase");</v>
      </c>
    </row>
    <row r="378" spans="1:15" x14ac:dyDescent="0.25">
      <c r="A378" s="1"/>
      <c r="B378" s="5" t="s">
        <v>563</v>
      </c>
      <c r="C378" s="1">
        <f t="shared" ca="1" si="35"/>
        <v>3</v>
      </c>
      <c r="D378" s="1" t="s">
        <v>316</v>
      </c>
      <c r="E378" s="1"/>
      <c r="F378" s="1"/>
      <c r="G378" s="1" t="s">
        <v>671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7"/>
        <v>createText</v>
      </c>
      <c r="K378" s="1" t="str">
        <f t="shared" si="33"/>
        <v>starsTXT</v>
      </c>
      <c r="L378" s="1"/>
      <c r="M378" s="1"/>
      <c r="N378" s="14" t="str">
        <f t="shared" ca="1" si="38"/>
        <v>MCText * contLevinUpgrade2StarsTXT;</v>
      </c>
      <c r="O378" s="14" t="str">
        <f t="shared" ca="1" si="34"/>
        <v>contLevinUpgrade2StarsTXT= contLevinUpgrade2-&gt;createText("starsTXT");</v>
      </c>
    </row>
    <row r="379" spans="1:15" x14ac:dyDescent="0.25">
      <c r="A379" s="1"/>
      <c r="B379" s="4" t="s">
        <v>579</v>
      </c>
      <c r="C379" s="1">
        <f t="shared" ca="1" si="35"/>
        <v>2</v>
      </c>
      <c r="D379" s="1" t="s">
        <v>316</v>
      </c>
      <c r="E379" s="1"/>
      <c r="F379" s="1"/>
      <c r="G379" s="1" t="s">
        <v>616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7"/>
        <v>createMovieClipSub</v>
      </c>
      <c r="K379" s="1" t="str">
        <f t="shared" si="33"/>
        <v>levinUpgrade3</v>
      </c>
      <c r="L379" s="1"/>
      <c r="M379" s="1"/>
      <c r="N379" s="14" t="str">
        <f t="shared" ca="1" si="38"/>
        <v>MovieClipSub * contLevinUpgrade3;</v>
      </c>
      <c r="O379" s="14" t="str">
        <f t="shared" ca="1" si="34"/>
        <v>contLevinUpgrade3= cont-&gt;createMovieClipSub("levinUpgrade3");</v>
      </c>
    </row>
    <row r="380" spans="1:15" x14ac:dyDescent="0.25">
      <c r="A380" s="1"/>
      <c r="B380" s="5" t="s">
        <v>547</v>
      </c>
      <c r="C380" s="1">
        <f t="shared" ca="1" si="35"/>
        <v>3</v>
      </c>
      <c r="D380" s="1" t="s">
        <v>316</v>
      </c>
      <c r="E380" s="1"/>
      <c r="F380" s="1"/>
      <c r="G380" s="1" t="s">
        <v>669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7"/>
        <v>createCase</v>
      </c>
      <c r="K380" s="1" t="str">
        <f t="shared" si="33"/>
        <v>upgradeCase</v>
      </c>
      <c r="L380" s="1"/>
      <c r="M380" s="1"/>
      <c r="N380" s="14" t="str">
        <f t="shared" ca="1" si="38"/>
        <v>MCCase * contLevinUpgrade3UpgradeCase;</v>
      </c>
      <c r="O380" s="14" t="str">
        <f t="shared" ca="1" si="34"/>
        <v>contLevinUpgrade3UpgradeCase= contLevinUpgrade3-&gt;createCase("upgradeCase");</v>
      </c>
    </row>
    <row r="381" spans="1:15" x14ac:dyDescent="0.25">
      <c r="A381" s="1"/>
      <c r="B381" s="5" t="s">
        <v>545</v>
      </c>
      <c r="C381" s="1">
        <f t="shared" ca="1" si="35"/>
        <v>3</v>
      </c>
      <c r="D381" s="1" t="s">
        <v>316</v>
      </c>
      <c r="E381" s="1"/>
      <c r="F381" s="1"/>
      <c r="G381" s="1" t="s">
        <v>671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7"/>
        <v>createText</v>
      </c>
      <c r="K381" s="1" t="str">
        <f t="shared" si="33"/>
        <v>starsTXT</v>
      </c>
      <c r="L381" s="1"/>
      <c r="M381" s="1"/>
      <c r="N381" s="14" t="str">
        <f t="shared" ca="1" si="38"/>
        <v>MCText * contLevinUpgrade3StarsTXT;</v>
      </c>
      <c r="O381" s="14" t="str">
        <f t="shared" ca="1" si="34"/>
        <v>contLevinUpgrade3StarsTXT= contLevinUpgrade3-&gt;createText("starsTXT");</v>
      </c>
    </row>
    <row r="382" spans="1:15" x14ac:dyDescent="0.25">
      <c r="A382" s="1"/>
      <c r="B382" s="4" t="s">
        <v>577</v>
      </c>
      <c r="C382" s="1">
        <f t="shared" ca="1" si="35"/>
        <v>2</v>
      </c>
      <c r="D382" s="1" t="s">
        <v>316</v>
      </c>
      <c r="E382" s="1"/>
      <c r="F382" s="1"/>
      <c r="G382" s="1" t="s">
        <v>616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7"/>
        <v>createMovieClipSub</v>
      </c>
      <c r="K382" s="1" t="str">
        <f t="shared" si="33"/>
        <v>levinUpgrade4</v>
      </c>
      <c r="L382" s="1"/>
      <c r="M382" s="1"/>
      <c r="N382" s="14" t="str">
        <f t="shared" ca="1" si="38"/>
        <v>MovieClipSub * contLevinUpgrade4;</v>
      </c>
      <c r="O382" s="14" t="str">
        <f t="shared" ca="1" si="34"/>
        <v>contLevinUpgrade4= cont-&gt;createMovieClipSub("levinUpgrade4");</v>
      </c>
    </row>
    <row r="383" spans="1:15" x14ac:dyDescent="0.25">
      <c r="A383" s="1"/>
      <c r="B383" s="5" t="s">
        <v>547</v>
      </c>
      <c r="C383" s="1">
        <f t="shared" ca="1" si="35"/>
        <v>3</v>
      </c>
      <c r="D383" s="1" t="s">
        <v>316</v>
      </c>
      <c r="E383" s="1"/>
      <c r="F383" s="1"/>
      <c r="G383" s="1" t="s">
        <v>669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7"/>
        <v>createCase</v>
      </c>
      <c r="K383" s="1" t="str">
        <f t="shared" si="33"/>
        <v>upgradeCase</v>
      </c>
      <c r="L383" s="1"/>
      <c r="M383" s="1"/>
      <c r="N383" s="14" t="str">
        <f t="shared" ca="1" si="38"/>
        <v>MCCase * contLevinUpgrade4UpgradeCase;</v>
      </c>
      <c r="O383" s="14" t="str">
        <f t="shared" ca="1" si="34"/>
        <v>contLevinUpgrade4UpgradeCase= contLevinUpgrade4-&gt;createCase("upgradeCase");</v>
      </c>
    </row>
    <row r="384" spans="1:15" x14ac:dyDescent="0.25">
      <c r="A384" s="1"/>
      <c r="B384" s="5" t="s">
        <v>545</v>
      </c>
      <c r="C384" s="1">
        <f t="shared" ca="1" si="35"/>
        <v>3</v>
      </c>
      <c r="D384" s="1" t="s">
        <v>316</v>
      </c>
      <c r="E384" s="1"/>
      <c r="F384" s="1"/>
      <c r="G384" s="1" t="s">
        <v>671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7"/>
        <v>createText</v>
      </c>
      <c r="K384" s="1" t="str">
        <f t="shared" si="33"/>
        <v>starsTXT</v>
      </c>
      <c r="L384" s="1"/>
      <c r="M384" s="1"/>
      <c r="N384" s="14" t="str">
        <f t="shared" ca="1" si="38"/>
        <v>MCText * contLevinUpgrade4StarsTXT;</v>
      </c>
      <c r="O384" s="14" t="str">
        <f t="shared" ca="1" si="34"/>
        <v>contLevinUpgrade4StarsTXT= contLevinUpgrade4-&gt;createText("starsTXT");</v>
      </c>
    </row>
    <row r="385" spans="1:15" x14ac:dyDescent="0.25">
      <c r="A385" s="1"/>
      <c r="B385" s="4" t="s">
        <v>578</v>
      </c>
      <c r="C385" s="1">
        <f t="shared" ca="1" si="35"/>
        <v>2</v>
      </c>
      <c r="D385" s="1" t="s">
        <v>316</v>
      </c>
      <c r="E385" s="1"/>
      <c r="F385" s="1"/>
      <c r="G385" s="1" t="s">
        <v>616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7"/>
        <v>createMovieClipSub</v>
      </c>
      <c r="K385" s="1" t="str">
        <f t="shared" si="33"/>
        <v>levinUpgrade5</v>
      </c>
      <c r="L385" s="1"/>
      <c r="M385" s="1"/>
      <c r="N385" s="14" t="str">
        <f t="shared" ca="1" si="38"/>
        <v>MovieClipSub * contLevinUpgrade5;</v>
      </c>
      <c r="O385" s="14" t="str">
        <f t="shared" ca="1" si="34"/>
        <v>contLevinUpgrade5= cont-&gt;createMovieClipSub("levinUpgrade5");</v>
      </c>
    </row>
    <row r="386" spans="1:15" x14ac:dyDescent="0.25">
      <c r="A386" s="1"/>
      <c r="B386" s="5" t="s">
        <v>547</v>
      </c>
      <c r="C386" s="1">
        <f t="shared" ca="1" si="35"/>
        <v>3</v>
      </c>
      <c r="D386" s="1" t="s">
        <v>316</v>
      </c>
      <c r="E386" s="1"/>
      <c r="F386" s="1"/>
      <c r="G386" s="1" t="s">
        <v>669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7"/>
        <v>createCase</v>
      </c>
      <c r="K386" s="1" t="str">
        <f t="shared" ref="K386:K389" si="40">B386</f>
        <v>upgradeCase</v>
      </c>
      <c r="L386" s="1"/>
      <c r="M386" s="1"/>
      <c r="N386" s="14" t="str">
        <f t="shared" ca="1" si="38"/>
        <v>MCCase * contLevinUpgrade5UpgradeCase;</v>
      </c>
      <c r="O386" s="14" t="str">
        <f t="shared" ref="O386:O389" ca="1" si="41">IF(C386&gt;0,IF(G386="MovieClip",IF(M386&lt;&gt;"y",H386&amp;"= "&amp;I386&amp;"-&gt;"&amp;J386&amp;"("""&amp;B386&amp;""","""&amp;D386&amp;"/"","""&amp;L386&amp;""","""&amp;K386&amp;""")"&amp;";",
H386&amp;"= "&amp;"("&amp;K386&amp;"*)"&amp;I386&amp;"-&gt;"&amp;J386&amp;"("""&amp;B386&amp;""",new "&amp;K386&amp;"())"&amp;";"
),H386&amp;"= "&amp;I386&amp;"-&gt;"&amp;J386&amp;"("""&amp;K386&amp;""")"&amp;";"),IF(RIGHT(B386,3)&lt;&gt;"_mc",G386&amp;"("""&amp;D386&amp;""","""&amp;B386&amp;""","""&amp;K386&amp;"""{)",B386&amp;"::"&amp;B386&amp;":"&amp;G386&amp;"("""&amp;D386&amp;"/"","""&amp;B386&amp;""","""&amp;K386&amp;"""{)"))</f>
        <v>contLevinUpgrade5UpgradeCase= contLevinUpgrade5-&gt;createCase("upgradeCase");</v>
      </c>
    </row>
    <row r="387" spans="1:15" x14ac:dyDescent="0.25">
      <c r="A387" s="1"/>
      <c r="B387" s="5" t="s">
        <v>545</v>
      </c>
      <c r="C387" s="1">
        <f t="shared" ref="C387:C389" ca="1" si="42">indent(B387)</f>
        <v>3</v>
      </c>
      <c r="D387" s="1" t="s">
        <v>316</v>
      </c>
      <c r="E387" s="1"/>
      <c r="F387" s="1"/>
      <c r="G387" s="1" t="s">
        <v>671</v>
      </c>
      <c r="H387" s="1" t="str">
        <f t="shared" ref="H387:H389" ca="1" si="43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4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4" t="str">
        <f t="shared" ca="1" si="38"/>
        <v>MCText * contLevinUpgrade5StarsTXT;</v>
      </c>
      <c r="O387" s="14" t="str">
        <f t="shared" ca="1" si="41"/>
        <v>contLevinUpgrade5StarsTXT= contLevinUpgrade5-&gt;createText("starsTXT");</v>
      </c>
    </row>
    <row r="388" spans="1:15" x14ac:dyDescent="0.25">
      <c r="A388" s="1"/>
      <c r="B388" s="6" t="s">
        <v>543</v>
      </c>
      <c r="C388" s="1">
        <f t="shared" ca="1" si="42"/>
        <v>0</v>
      </c>
      <c r="D388" s="1" t="s">
        <v>316</v>
      </c>
      <c r="E388" s="1"/>
      <c r="F388" s="1"/>
      <c r="G388" s="1" t="s">
        <v>618</v>
      </c>
      <c r="H388" s="1" t="str">
        <f t="shared" ca="1" si="43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4"/>
        <v>createMovieClip</v>
      </c>
      <c r="K388" s="1" t="str">
        <f t="shared" si="40"/>
        <v>HintUpgrade_mc</v>
      </c>
      <c r="L388" s="1"/>
      <c r="M388" s="1"/>
      <c r="N388" s="14" t="str">
        <f t="shared" ref="N388:N389" ca="1" si="45">IF(C388&gt;0,G388 &amp; " * "&amp;H388 &amp;";","")</f>
        <v/>
      </c>
      <c r="O388" s="14" t="str">
        <f t="shared" ca="1" si="41"/>
        <v>HintUpgrade_mc::HintUpgrade_mc:MovieClip("screen/","HintUpgrade_mc","HintUpgrade_mc"{)</v>
      </c>
    </row>
    <row r="389" spans="1:15" x14ac:dyDescent="0.25">
      <c r="A389" s="1"/>
      <c r="B389" s="3" t="s">
        <v>154</v>
      </c>
      <c r="C389" s="1">
        <f t="shared" ca="1" si="42"/>
        <v>1</v>
      </c>
      <c r="D389" s="1" t="s">
        <v>316</v>
      </c>
      <c r="E389" s="1"/>
      <c r="F389" s="1"/>
      <c r="G389" s="1" t="s">
        <v>671</v>
      </c>
      <c r="H389" s="1" t="str">
        <f t="shared" ca="1" si="43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4"/>
        <v>createText</v>
      </c>
      <c r="K389" s="1" t="str">
        <f t="shared" si="40"/>
        <v>noteTXT</v>
      </c>
      <c r="L389" s="1"/>
      <c r="M389" s="1"/>
      <c r="N389" s="14" t="str">
        <f t="shared" ca="1" si="45"/>
        <v>MCText * noteTXT;</v>
      </c>
      <c r="O389" s="14" t="str">
        <f t="shared" ca="1" si="41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0D1C-BA36-4C1E-AAB8-6C76286FFF07}">
  <dimension ref="A1"/>
  <sheetViews>
    <sheetView workbookViewId="0">
      <selection activeCell="E22" sqref="E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unit</vt:lpstr>
      <vt:lpstr>cast</vt:lpstr>
      <vt:lpstr>tower</vt:lpstr>
      <vt:lpstr>bullet sphere</vt:lpstr>
      <vt:lpstr>world</vt:lpstr>
      <vt:lpstr>screen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2018-06-14T03:53:21Z</dcterms:modified>
</cp:coreProperties>
</file>